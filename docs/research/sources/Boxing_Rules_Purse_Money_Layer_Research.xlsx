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f4be9af0a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s Matrix" sheetId="1" r:id="R3483b1cd19304893"/>
    <x:sheet xmlns:r="http://schemas.openxmlformats.org/officeDocument/2006/relationships" name="Official Sources" sheetId="2" r:id="Rd88c1c0d2e8f4bad"/>
    <x:sheet xmlns:r="http://schemas.openxmlformats.org/officeDocument/2006/relationships" name="Fury-Whyte 2022" sheetId="3" r:id="R338fa56521f24990"/>
    <x:sheet xmlns:r="http://schemas.openxmlformats.org/officeDocument/2006/relationships" name="Ali Act &amp; Manager Caps" sheetId="4" r:id="R893c6deed60c4b22"/>
    <x:sheet xmlns:r="http://schemas.openxmlformats.org/officeDocument/2006/relationships" name="Money Layer - 100 Purses" sheetId="5" r:id="R9f8e434215714203"/>
    <x:sheet xmlns:r="http://schemas.openxmlformats.org/officeDocument/2006/relationships" name="State Data Availability" sheetId="6" r:id="R2a480c209d3247ca"/>
    <x:sheet xmlns:r="http://schemas.openxmlformats.org/officeDocument/2006/relationships" name="Game Modelling Inputs" sheetId="7" r:id="R0904e2a37d58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e644a156d418c" /><Relationship Type="http://schemas.openxmlformats.org/officeDocument/2006/relationships/theme" Target="/xl/theme/theme1.xml" Id="R1537c7c56b824ae4" /><Relationship Type="http://schemas.openxmlformats.org/officeDocument/2006/relationships/sharedStrings" Target="/xl/sharedStrings.xml" Id="R1057bb2fcb9d4704" /><Relationship Type="http://schemas.openxmlformats.org/officeDocument/2006/relationships/worksheet" Target="/xl/worksheets/sheet1.xml" Id="R3483b1cd19304893" /><Relationship Type="http://schemas.openxmlformats.org/officeDocument/2006/relationships/worksheet" Target="/xl/worksheets/sheet2.xml" Id="Rd88c1c0d2e8f4bad" /><Relationship Type="http://schemas.openxmlformats.org/officeDocument/2006/relationships/worksheet" Target="/xl/worksheets/sheet3.xml" Id="R338fa56521f24990" /><Relationship Type="http://schemas.openxmlformats.org/officeDocument/2006/relationships/worksheet" Target="/xl/worksheets/sheet4.xml" Id="R893c6deed60c4b22" /><Relationship Type="http://schemas.openxmlformats.org/officeDocument/2006/relationships/worksheet" Target="/xl/worksheets/sheet5.xml" Id="R9f8e434215714203" /><Relationship Type="http://schemas.openxmlformats.org/officeDocument/2006/relationships/worksheet" Target="/xl/worksheets/sheet6.xml" Id="R2a480c209d3247ca" /><Relationship Type="http://schemas.openxmlformats.org/officeDocument/2006/relationships/worksheet" Target="/xl/worksheets/sheet7.xml" Id="R0904e2a37d5841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8" hidden="0" customWidth="1"/>
    <x:col min="4" max="4" width="30" hidden="0" customWidth="1"/>
    <x:col min="5" max="5" width="34" hidden="0" customWidth="1"/>
    <x:col min="6" max="6" width="38" hidden="0" customWidth="1"/>
    <x:col min="7" max="7" width="34" hidden="0" customWidth="1"/>
    <x:col min="8" max="8" width="38" hidden="0" customWidth="1"/>
    <x:col min="9" max="9" width="42" hidden="0" customWidth="1"/>
    <x:col min="10" max="10" width="38" hidden="0" customWidth="1"/>
    <x:col min="11" max="11" width="40" hidden="0" customWidth="1"/>
    <x:col min="12" max="12" width="48" hidden="0" customWidth="1"/>
  </x:cols>
  <x:sheetData>
    <x:row r="1">
      <x:c r="A1" s="20" t="str">
        <x:v>WBC / WBA / IBF / WBO — purse bid, sanction fee &amp; mandatory-defense matrix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3">
      <x:c r="A3" s="12" t="str">
        <x:v>Body</x:v>
      </x:c>
      <x:c r="B3" s="12" t="str">
        <x:v>Document / edition</x:v>
      </x:c>
      <x:c r="C3" s="12" t="str">
        <x:v>Purse split — mandatory</x:v>
      </x:c>
      <x:c r="D3" s="12" t="str">
        <x:v>Vacant title</x:v>
      </x:c>
      <x:c r="E3" s="12" t="str">
        <x:v>Eliminator</x:v>
      </x:c>
      <x:c r="F3" s="12" t="str">
        <x:v>Negotiation / bid timing</x:v>
      </x:c>
      <x:c r="G3" s="12" t="str">
        <x:v>Eligible bidders</x:v>
      </x:c>
      <x:c r="H3" s="12" t="str">
        <x:v>Participation fee / deposit</x:v>
      </x:c>
      <x:c r="I3" s="12" t="str">
        <x:v>Minimum bid</x:v>
      </x:c>
      <x:c r="J3" s="12" t="str">
        <x:v>Contracts / bout timing</x:v>
      </x:c>
      <x:c r="K3" s="12" t="str">
        <x:v>Default sanctions</x:v>
      </x:c>
      <x:c r="L3" s="12" t="str">
        <x:v>Sanction fee / mandatory cycle</x:v>
      </x:c>
    </x:row>
    <x:row r="4">
      <x:c r="A4" t="str">
        <x:v>WBC</x:v>
      </x:c>
      <x:c r="B4" t="str">
        <x:v>Current Rules &amp; Regulations; WBC download page last updated 20 Feb 2026</x:v>
      </x:c>
      <x:c r="C4" t="str">
        <x:v>Suggested: first set aside 10% winner bonus; then 70/30 of remaining 90% Champion/Challenger. Board may alter split case-by-case.</x:v>
      </x:c>
      <x:c r="D4" t="str">
        <x:v>10% winner bonus; remaining 90% suggested 50/50.</x:v>
      </x:c>
      <x:c r="E4" t="str">
        <x:v>10% winner bonus; remaining 90% suggested 50/50.</x:v>
      </x:c>
      <x:c r="F4" t="str">
        <x:v>30-day free negotiation; if no agreement, purse-offer ceremony generally ~15 calendar days after expiry. WBC may shorten/extend.</x:v>
      </x:c>
      <x:c r="G4" t="str">
        <x:v>Currently registered WBC promoters; WBC may reject promoters not in good standing / non-compliant.</x:v>
      </x:c>
      <x:c r="H4" t="str">
        <x:v>Non-refundable participation: HW $10k; Cruiser-Middle $7.5k; Super Welter-Super Bantam $5k; Bantam-Straw $2.5k. Winner deposits 10% of winning offer within 10 calendar days.</x:v>
      </x:c>
      <x:c r="I4" t="str">
        <x:v>Set per purse-offer notice by WBC President + at least two members; WBC has discretion (no universal fixed table in current rule).</x:v>
      </x:c>
      <x:c r="J4" t="str">
        <x:v>Winning promoter: present contracts within 7 days; signed/delivered to WBC within 21 days; notify date/site within 15 days; stage bout within 120 days (subject to WBC modification).</x:v>
      </x:c>
      <x:c r="K4" t="str">
        <x:v>Deposit may be forfeited; right may pass to second-highest bidder or new bid. Boxer refusing may lose title/challenger status or face other discipline.</x:v>
      </x:c>
      <x:c r="L4" t="str">
        <x:v>Boxer fee set by WBC fee committee, capped at 3% of all gross bout-related consideration. Current rule excerpt does not state a universal boxer minimum/cap beyond 3%. Mandatory concept: generally official challenger every 12 months, subject to WBC rulings/exceptions.</x:v>
      </x:c>
    </x:row>
    <x:row r="5">
      <x:c r="A5" t="str">
        <x:v>WBA</x:v>
      </x:c>
      <x:c r="B5" t="str">
        <x:v>Current official PDF filename WBA-Rules-11.08.2023.pdf; text says amended Dec 2022 &amp; Apr 2024</x:v>
      </x:c>
      <x:c r="C5" t="str">
        <x:v>Current rule: President determines purse split case-by-case and states it in purse-bid notice. (Older 2022 text used 75/25.)</x:v>
      </x:c>
      <x:c r="D5" t="str">
        <x:v>Current rule: case-by-case split in bid notice (older text: 50/50).</x:v>
      </x:c>
      <x:c r="E5" t="str">
        <x:v>Eliminator negotiation up to 30 days; if no agreement Chairman calls purse bid. Current purse split case-by-case.</x:v>
      </x:c>
      <x:c r="F5" t="str">
        <x:v>Championship agreement due no later than 90 days before mandatory expiry; WBA may call bid if no timely agreement. Bid opening at least 10 days after notice. Specific ordered negotiations often use 30 days.</x:v>
      </x:c>
      <x:c r="G5" t="str">
        <x:v>Registered promoters in good standing on notice date; President may grant exception.</x:v>
      </x:c>
      <x:c r="H5" t="str">
        <x:v>Rule D.3 text says $5,000 non-refundable; Appendix D current schedule lists weight-based participation: 105–130 $5k; 135–154 $7.5k; 160–200 $10k; Heavy $15k. Bid warranty deposit ≥10%. This internal inconsistency is flagged.</x:v>
      </x:c>
      <x:c r="I5" t="str">
        <x:v>Unified: $120k/$150k/$200k/$400k/$1.5m by weight bands; World: $80k/$120k/$150k/$200k/$1m; Interim: $65k/$100k/$125k/$175k/$600k; Eliminator: $50k/$80k/$110k/$140k/$400k.</x:v>
      </x:c>
      <x:c r="J5" t="str">
        <x:v>Signed contracts within 20 days; bout 45–90 days from bid unless approved otherwise.</x:v>
      </x:c>
      <x:c r="K5" t="str">
        <x:v>Promoter default: rights revoked; deposit forfeited, WBA retains 10% and distributes 90% to boxers case-by-case. Boxer refusal may vacate title / forfeit ranking. Two failed title-defense bids may lead to title and mandatory position being vacated.</x:v>
      </x:c>
      <x:c r="L5" t="str">
        <x:v>World/Super/Interim: Champion 3% min $3,500 max $250k; Challenger 3% min $1,500 max $250k; undisputed max $350k. Eliminator: 3% each, min $1,200. Mandatory: non-HW initial 9 months if champion was official contender, otherwise 120 days; HW 12 months / 180 days; WBA may modify.</x:v>
      </x:c>
    </x:row>
    <x:row r="6">
      <x:c r="A6" t="str">
        <x:v>IBF</x:v>
      </x:c>
      <x:c r="B6" t="str">
        <x:v>IBF Championship Contest Rules 06/25 (official current PDF; amendments through 30 Apr 2025)</x:v>
      </x:c>
      <x:c r="C6" t="str">
        <x:v>Champion vs #1/#2: 65/35. Champion vs #3 or lower: 85/15.</x:v>
      </x:c>
      <x:c r="D6" t="str">
        <x:v>50/50.</x:v>
      </x:c>
      <x:c r="E6" t="str">
        <x:v>#1 vs #2: 50/50; #1/#2 vs other: 75/25; both #3-or-lower: 60/40 by higher/lower rank. Board can approve variation.</x:v>
      </x:c>
      <x:c r="F6" t="str">
        <x:v>30-day negotiation. After 5 business days either camp can certify it will not negotiate and trigger bid. Bid date ≥10 days after notice.</x:v>
      </x:c>
      <x:c r="G6" t="str">
        <x:v>Promoters whose annual registration is paid ≥5 days before initial bid date.</x:v>
      </x:c>
      <x:c r="H6" t="str">
        <x:v>$5,000 non-refundable bid fee. Winner pays 10% immediately + another 10% within 5 business days; both non-refundable.</x:v>
      </x:c>
      <x:c r="I6" t="str">
        <x:v>Champion vs #1/#2: 105–122 $25k; 126–147 $50k; 154–200 $100k; HW $200k. Champion vs #3+: $12.5k / $25k / $50k / $100k.</x:v>
      </x:c>
      <x:c r="J6" t="str">
        <x:v>Signed contracts to IBF no later than 15 days after bid; event normally 28–90 days after bid (subject to rules/approval).</x:v>
      </x:c>
      <x:c r="K6" t="str">
        <x:v>Missed deposits void bid; defaulting bidder may be barred ≥6 months; deposits distributed 75/25 or 50/50 vacant. Champion refusal can vacate title; challenger can lose mandatory/ranking position.</x:v>
      </x:c>
      <x:c r="L6" t="str">
        <x:v>Fight sanction: 3% gross purse; fee schedule: Champion min $2,000; challenger min $1,500; no explicit maximum shown in 2023 official fee schedule. Mandatory: HW first within 1 year then ≤9 months; other divisions within 9 months; vacant-title winner HW 1 year, other divisions 6 months, then ≤9 months.</x:v>
      </x:c>
    </x:row>
    <x:row r="7">
      <x:c r="A7" t="str">
        <x:v>WBO</x:v>
      </x:c>
      <x:c r="B7" t="str">
        <x:v>WBO Regulations PDF posted Jan 2024</x:v>
      </x:c>
      <x:c r="C7" t="str">
        <x:v>Existing Champion: 75/25 if held in Champion country/residence/nationality or neutral venue; 80/20 if held in Challenger country/residence/nationality.</x:v>
      </x:c>
      <x:c r="D7" t="str">
        <x:v>If held in one contender's home/residence/nationality: resident contender 40%, opponent 60%; neutral/same country: 50/50.</x:v>
      </x:c>
      <x:c r="E7" t="str">
        <x:v>Same rule as vacant: home-side resident 40%, opponent 60%; neutral/same country 50/50.</x:v>
      </x:c>
      <x:c r="F7" t="str">
        <x:v>At least 60-day mandatory notice; good-faith negotiation first 30 days. President may vary but not below 5 days; either side may terminate negotiation by notice; WBO may call bid within 10 days after negotiation ends.</x:v>
      </x:c>
      <x:c r="G7" t="str">
        <x:v>Registered promoters in good standing; annual registration must be paid and promoter in good standing within 30 days before bid.</x:v>
      </x:c>
      <x:c r="H7" t="str">
        <x:v>$2,000 bid deposit/service fee retained for all bidders. Proposal also requires 20% Purse Bond. New WBO promoter that wins: 50% of total purse within 10 days; promoter defaulted by major body in prior 3 years: 100% within 10 days.</x:v>
      </x:c>
      <x:c r="I7" t="str">
        <x:v>Mini-Fly–Fly $80k; Jr Bantam–Jr Feather $100k; Feather–Jr Welter $150k; Welter–Middle $200k; Super Middle–Jr Heavy $300k; Heavy $1m.</x:v>
      </x:c>
      <x:c r="J7" t="str">
        <x:v>Bout 45–90 days from bid; Committee may extend up to 45 days for cause. Proposal must state date/site. New/at-risk promoter extra deposits due within 10 days.</x:v>
      </x:c>
      <x:c r="K7" t="str">
        <x:v>Default forfeits 20% Purse Bond: 68% Champion / 17% Challenger / 15% WBO; WBO may rebid, offer to second bidder or grant champion 120-day voluntary extension.</x:v>
      </x:c>
      <x:c r="L7" t="str">
        <x:v>Champion &amp; Challenger: 3% purse, min $1,000, max $250k. Unified Champion: 2%, min $1,000, max $250k. Mandatory cycle: non-HW ≤9 months; HW ≤12 months; new champion who beat non-mandatory opponent must face mandatory within 180 days.</x:v>
      </x:c>
    </x:row>
  </x:sheetData>
  <x:mergeCells>
    <x:mergeCell ref="A1:L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28" hidden="0" customWidth="1"/>
    <x:col min="4" max="4" width="52" hidden="0" customWidth="1"/>
    <x:col min="5" max="5" width="70" hidden="0" customWidth="1"/>
  </x:cols>
  <x:sheetData>
    <x:row r="1">
      <x:c r="A1" s="20" t="str">
        <x:v>Primary / high-authority source catalogue</x:v>
      </x:c>
      <x:c r="B1" s="20"/>
      <x:c r="C1" s="20"/>
      <x:c r="D1" s="20"/>
      <x:c r="E1" s="20"/>
    </x:row>
    <x:row r="3">
      <x:c r="A3" s="12" t="str">
        <x:v>Body/State</x:v>
      </x:c>
      <x:c r="B3" s="12" t="str">
        <x:v>Source</x:v>
      </x:c>
      <x:c r="C3" s="12" t="str">
        <x:v>Status / edition</x:v>
      </x:c>
      <x:c r="D3" s="12" t="str">
        <x:v>Use</x:v>
      </x:c>
      <x:c r="E3" s="12" t="str">
        <x:v>URL</x:v>
      </x:c>
    </x:row>
    <x:row r="4">
      <x:c r="A4" t="str">
        <x:v>WBC</x:v>
      </x:c>
      <x:c r="B4" t="str">
        <x:v>Rules &amp; Regulations download page</x:v>
      </x:c>
      <x:c r="C4" t="str">
        <x:v>Last updated 20 Feb 2026</x:v>
      </x:c>
      <x:c r="D4" t="str">
        <x:v>Current WBC rules / purse offer / sanction fees</x:v>
      </x:c>
      <x:c r="E4" t="str">
        <x:v>https://wbcboxing.com/en/download/wbc-rules-and-regulations/</x:v>
      </x:c>
    </x:row>
    <x:row r="5">
      <x:c r="A5" t="str">
        <x:v>WBC</x:v>
      </x:c>
      <x:c r="B5" t="str">
        <x:v>Current rules file endpoint</x:v>
      </x:c>
      <x:c r="C5" t="str">
        <x:v>Current file</x:v>
      </x:c>
      <x:c r="D5" t="str">
        <x:v>Rules 2.x and 7.1</x:v>
      </x:c>
      <x:c r="E5" t="str">
        <x:v>https://wbcboxing.com/en/descarga/reglas-y-regulaciones-5/?wpdmdl=2535</x:v>
      </x:c>
    </x:row>
    <x:row r="6">
      <x:c r="A6" t="str">
        <x:v>WBC</x:v>
      </x:c>
      <x:c r="B6" t="str">
        <x:v>Fury–Whyte status</x:v>
      </x:c>
      <x:c r="C6" t="str">
        <x:v>9 Jan 2022</x:v>
      </x:c>
      <x:c r="D6" t="str">
        <x:v>Free negotiation extension / scheduled bid</x:v>
      </x:c>
      <x:c r="E6" t="str">
        <x:v>https://wbcboxing.com/en/wbc-heavyweight-status-january-2022/</x:v>
      </x:c>
    </x:row>
    <x:row r="7">
      <x:c r="A7" t="str">
        <x:v>WBC</x:v>
      </x:c>
      <x:c r="B7" t="str">
        <x:v>Fury–Whyte final extension</x:v>
      </x:c>
      <x:c r="C7" t="str">
        <x:v>26 Jan 2022</x:v>
      </x:c>
      <x:c r="D7" t="str">
        <x:v>Final negotiation extension / Jan 28 bid</x:v>
      </x:c>
      <x:c r="E7" t="str">
        <x:v>https://wbcboxing.com/en/tyson-fury-vs-dillian-whyte-status/</x:v>
      </x:c>
    </x:row>
    <x:row r="8">
      <x:c r="A8" t="str">
        <x:v>WBC</x:v>
      </x:c>
      <x:c r="B8" t="str">
        <x:v>Fury–Whyte purse-bid result</x:v>
      </x:c>
      <x:c r="C8" t="str">
        <x:v>28 Jan 2022</x:v>
      </x:c>
      <x:c r="D8" t="str">
        <x:v>Winning bid $41.025m; Matchroom $32.222222m; 10% winner bonus</x:v>
      </x:c>
      <x:c r="E8" t="str">
        <x:v>https://wbcboxing.com/en/queensberry-promotions-will-promote-fury-vs-whyte/</x:v>
      </x:c>
    </x:row>
    <x:row r="9">
      <x:c r="A9" t="str">
        <x:v>WBA</x:v>
      </x:c>
      <x:c r="B9" t="str">
        <x:v>Current rules PDF</x:v>
      </x:c>
      <x:c r="C9" t="str">
        <x:v>Filename 2023; text amended Dec 2022 &amp; Apr 2024</x:v>
      </x:c>
      <x:c r="D9" t="str">
        <x:v>Current rules + appendices</x:v>
      </x:c>
      <x:c r="E9" t="str">
        <x:v>https://www.wbaboxing.com/wp-content/uploads/2026/06/WBA-Rules-11.08.2023.pdf</x:v>
      </x:c>
    </x:row>
    <x:row r="10">
      <x:c r="A10" t="str">
        <x:v>IBF</x:v>
      </x:c>
      <x:c r="B10" t="str">
        <x:v>Championship Contest Rules 06/25</x:v>
      </x:c>
      <x:c r="C10" t="str">
        <x:v>Official current rules</x:v>
      </x:c>
      <x:c r="D10" t="str">
        <x:v>Rules 2,5,9,10</x:v>
      </x:c>
      <x:c r="E10" t="str">
        <x:v>https://www.ibf-usba-boxing.com/wp-content/uploads/IBFChampionshipContestRules06_25.pdf</x:v>
      </x:c>
    </x:row>
    <x:row r="11">
      <x:c r="A11" t="str">
        <x:v>IBF</x:v>
      </x:c>
      <x:c r="B11" t="str">
        <x:v>Fee schedule</x:v>
      </x:c>
      <x:c r="C11" t="str">
        <x:v>Apr 2023 official fee schedule</x:v>
      </x:c>
      <x:c r="D11" t="str">
        <x:v>Sanction fee minima / promoter fees</x:v>
      </x:c>
      <x:c r="E11" t="str">
        <x:v>https://www.ibf-usba-boxing.com/wp-content/uploads/NewFeeScheduleApr2023.pdf</x:v>
      </x:c>
    </x:row>
    <x:row r="12">
      <x:c r="A12" t="str">
        <x:v>WBO</x:v>
      </x:c>
      <x:c r="B12" t="str">
        <x:v>Regulations</x:v>
      </x:c>
      <x:c r="C12" t="str">
        <x:v>PDF posted Jan 2024</x:v>
      </x:c>
      <x:c r="D12" t="str">
        <x:v>Sections 5,10–17,20</x:v>
      </x:c>
      <x:c r="E12" t="str">
        <x:v>https://wboboxing.com/wp-content/uploads/2024/01/WBO-Regulations-jan-2024.pdf</x:v>
      </x:c>
    </x:row>
    <x:row r="13">
      <x:c r="A13" t="str">
        <x:v>WBO</x:v>
      </x:c>
      <x:c r="B13" t="str">
        <x:v>Promoter receipt / fees</x:v>
      </x:c>
      <x:c r="C13" t="str">
        <x:v>2025 form</x:v>
      </x:c>
      <x:c r="D13" t="str">
        <x:v>Confirms current 3% / min / max and promoter fees</x:v>
      </x:c>
      <x:c r="E13" t="str">
        <x:v>https://wboboxing.com/wp-content/uploads/2025/03/WBO-Promoters-Receipt-NEW.pdf</x:v>
      </x:c>
    </x:row>
    <x:row r="14">
      <x:c r="A14" t="str">
        <x:v>Federal</x:v>
      </x:c>
      <x:c r="B14" t="str">
        <x:v>15 USC §6307e</x:v>
      </x:c>
      <x:c r="C14" t="str">
        <x:v>Law in effect Sep 2026</x:v>
      </x:c>
      <x:c r="D14" t="str">
        <x:v>Ali Act promoter disclosures</x:v>
      </x:c>
      <x:c r="E14" t="str">
        <x:v>https://uscode.house.gov/view.xhtml?edition=prelim&amp;num=0&amp;req=granuleid%3AUSC-prelim-title15-section6307e</x:v>
      </x:c>
    </x:row>
    <x:row r="15">
      <x:c r="A15" t="str">
        <x:v>Federal</x:v>
      </x:c>
      <x:c r="B15" t="str">
        <x:v>15 USC §6308</x:v>
      </x:c>
      <x:c r="C15" t="str">
        <x:v>Law in effect Aug 2026</x:v>
      </x:c>
      <x:c r="D15" t="str">
        <x:v>Ali Act promoter-manager firewall / conflicts</x:v>
      </x:c>
      <x:c r="E15" t="str">
        <x:v>https://uscode.house.gov/view.xhtml?edition=prelim&amp;num=0&amp;req=granuleid%3AUSC-prelim-title15-section6308</x:v>
      </x:c>
    </x:row>
    <x:row r="16">
      <x:c r="A16" t="str">
        <x:v>Nevada</x:v>
      </x:c>
      <x:c r="B16" t="str">
        <x:v>NAC Chapter 467</x:v>
      </x:c>
      <x:c r="C16" t="str">
        <x:v>Current official Nevada code</x:v>
      </x:c>
      <x:c r="D16" t="str">
        <x:v>Manager cap / contracts</x:v>
      </x:c>
      <x:c r="E16" t="str">
        <x:v>https://www.leg.state.nv.us/NAC/NAC-467.html</x:v>
      </x:c>
    </x:row>
    <x:row r="17">
      <x:c r="A17" t="str">
        <x:v>California</x:v>
      </x:c>
      <x:c r="B17" t="str">
        <x:v>4 CCR §221</x:v>
      </x:c>
      <x:c r="C17" t="str">
        <x:v>Current through Register 2026 no.35</x:v>
      </x:c>
      <x:c r="D17" t="str">
        <x:v>Manager cap 33⅓%</x:v>
      </x:c>
      <x:c r="E17" t="str">
        <x:v>https://govt.westlaw.com/calregs/Document/I8F319E03543B11ECAE2D000D3A7C4BC3</x:v>
      </x:c>
    </x:row>
    <x:row r="18">
      <x:c r="A18" t="str">
        <x:v>Texas</x:v>
      </x:c>
      <x:c r="B18" t="str">
        <x:v>TDLR Combative Sports rules</x:v>
      </x:c>
      <x:c r="C18" t="str">
        <x:v>Current official landing page</x:v>
      </x:c>
      <x:c r="D18" t="str">
        <x:v>Chapter 61 rules / official results / open records</x:v>
      </x:c>
      <x:c r="E18" t="str">
        <x:v>https://www.tdlr.texas.gov/sports/laws-rules.htm</x:v>
      </x:c>
    </x:row>
    <x:row r="19">
      <x:c r="A19" t="str">
        <x:v>New Jersey</x:v>
      </x:c>
      <x:c r="B19" t="str">
        <x:v>N.J.A.C. 13:46-6.4</x:v>
      </x:c>
      <x:c r="C19" t="str">
        <x:v>Current rule reference</x:v>
      </x:c>
      <x:c r="D19" t="str">
        <x:v>Manager cap 33⅓%</x:v>
      </x:c>
      <x:c r="E19" t="str">
        <x:v>https://www.law.cornell.edu/regulations/new-jersey/N-J-A-C-13-46-6-4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34" hidden="0" customWidth="1"/>
    <x:col min="4" max="4" width="34" hidden="0" customWidth="1"/>
    <x:col min="5" max="5" width="55" hidden="0" customWidth="1"/>
    <x:col min="6" max="6" width="65" hidden="0" customWidth="1"/>
  </x:cols>
  <x:sheetData>
    <x:row r="1">
      <x:c r="A1" s="20" t="str">
        <x:v>WBC Fury–Whyte: purse-bid chronology and economics</x:v>
      </x:c>
      <x:c r="B1" s="20"/>
      <x:c r="C1" s="20"/>
      <x:c r="D1" s="20"/>
      <x:c r="E1" s="20"/>
      <x:c r="F1" s="20"/>
    </x:row>
    <x:row r="3">
      <x:c r="A3" s="12" t="str">
        <x:v>Date</x:v>
      </x:c>
      <x:c r="B3" s="12" t="str">
        <x:v>WBC action</x:v>
      </x:c>
      <x:c r="C3" s="12" t="str">
        <x:v>Bid / amount</x:v>
      </x:c>
      <x:c r="D3" s="12" t="str">
        <x:v>Economic effect</x:v>
      </x:c>
      <x:c r="E3" s="12" t="str">
        <x:v>Interpretation</x:v>
      </x:c>
      <x:c r="F3" s="12" t="str">
        <x:v>Source URL</x:v>
      </x:c>
    </x:row>
    <x:row r="4">
      <x:c r="A4" t="str">
        <x:v>2022-01-09</x:v>
      </x:c>
      <x:c r="B4" t="str">
        <x:v>WBC extended free negotiation; purse bid set for Jan 18 if no agreement</x:v>
      </x:c>
      <x:c r="C4" t="str">
        <x:v>—</x:v>
      </x:c>
      <x:c r="D4" t="str">
        <x:v>Negotiation period extended</x:v>
      </x:c>
      <x:c r="E4" t="str">
        <x:v>Individual WBC case management; not a fixed automatic timetable.</x:v>
      </x:c>
      <x:c r="F4" t="str">
        <x:v>https://wbcboxing.com/en/wbc-heavyweight-status-january-2022/</x:v>
      </x:c>
    </x:row>
    <x:row r="5">
      <x:c r="A5" t="str">
        <x:v>2022-01-17</x:v>
      </x:c>
      <x:c r="B5" t="str">
        <x:v>WBC again extended negotiations; purse bid moved to Jan 21</x:v>
      </x:c>
      <x:c r="C5" t="str">
        <x:v>—</x:v>
      </x:c>
      <x:c r="D5" t="str">
        <x:v>Further extension</x:v>
      </x:c>
      <x:c r="E5" t="str">
        <x:v>Shows WBC discretion to alter timing.</x:v>
      </x:c>
      <x:c r="F5" t="str">
        <x:v>https://wbcboxing.com/en/january-2022-wbc-heavyweight-status/</x:v>
      </x:c>
    </x:row>
    <x:row r="6">
      <x:c r="A6" t="str">
        <x:v>2022-01-26</x:v>
      </x:c>
      <x:c r="B6" t="str">
        <x:v>Final extension; purse bid set for Jan 28</x:v>
      </x:c>
      <x:c r="C6" t="str">
        <x:v>—</x:v>
      </x:c>
      <x:c r="D6" t="str">
        <x:v>Final negotiation window</x:v>
      </x:c>
      <x:c r="E6" t="str">
        <x:v>Final WBC extension before auction.</x:v>
      </x:c>
      <x:c r="F6" t="str">
        <x:v>https://wbcboxing.com/en/tyson-fury-vs-dillian-whyte-status/</x:v>
      </x:c>
    </x:row>
    <x:row r="7">
      <x:c r="A7" t="str">
        <x:v>2022-01-28</x:v>
      </x:c>
      <x:c r="B7" t="str">
        <x:v>Purse bid held; Queensberry won</x:v>
      </x:c>
      <x:c r="C7" t="str">
        <x:v>Queensberry $41,025,000; Matchroom $32,222,222</x:v>
      </x:c>
      <x:c r="D7" t="str">
        <x:v>10% winner bonus = $4,102,500</x:v>
      </x:c>
      <x:c r="E7" t="str">
        <x:v>WBC public result confirms bid amounts and winner-bonus reserve. The specific Fury/Whyte boxer split should be treated as an individual ruling/application, not inferred solely from the generic current 70/30 suggestion.</x:v>
      </x:c>
      <x:c r="F7" t="str">
        <x:v>https://wbcboxing.com/en/queensberry-promotions-will-promote-fury-vs-whyte/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62" hidden="0" customWidth="1"/>
    <x:col min="4" max="4" width="48" hidden="0" customWidth="1"/>
    <x:col min="5" max="5" width="55" hidden="0" customWidth="1"/>
    <x:col min="6" max="6" width="70" hidden="0" customWidth="1"/>
  </x:cols>
  <x:sheetData>
    <x:row r="1">
      <x:c r="A1" s="20" t="str">
        <x:v>Federal Ali Act and state manager-compensation limits</x:v>
      </x:c>
      <x:c r="B1" s="20"/>
      <x:c r="C1" s="20"/>
      <x:c r="D1" s="20"/>
      <x:c r="E1" s="20"/>
      <x:c r="F1" s="20"/>
    </x:row>
    <x:row r="3">
      <x:c r="A3" s="12" t="str">
        <x:v>Jurisdiction</x:v>
      </x:c>
      <x:c r="B3" s="12" t="str">
        <x:v>Rule</x:v>
      </x:c>
      <x:c r="C3" s="12" t="str">
        <x:v>Requirement / cap</x:v>
      </x:c>
      <x:c r="D3" s="12" t="str">
        <x:v>Scope / qualification</x:v>
      </x:c>
      <x:c r="E3" s="12" t="str">
        <x:v>Practical modelling implication</x:v>
      </x:c>
      <x:c r="F3" s="12" t="str">
        <x:v>Source URL</x:v>
      </x:c>
    </x:row>
    <x:row r="4">
      <x:c r="A4" t="str">
        <x:v>Federal — Ali Act</x:v>
      </x:c>
      <x:c r="B4" t="str">
        <x:v>15 USC §6307e</x:v>
      </x:c>
      <x:c r="C4" t="str">
        <x:v>Before promoter compensation: disclose to commission all written boxer agreements, certify no other oral/written match agreements, disclose boxer fees/charges/training expenses, payments to sanctioning bodies and purse reductions; disclose to boxer promoter compensation and assessed expenses.</x:v>
      </x:c>
      <x:c r="D4" t="str">
        <x:v>Professional boxing; federal disclosure regime.</x:v>
      </x:c>
      <x:c r="E4" t="str">
        <x:v>Store gross purse separately from deductions; model sanction fees/manager/trainer expenses transparently; keep purse-bid reductions auditable.</x:v>
      </x:c>
      <x:c r="F4" t="str">
        <x:v>https://uscode.house.gov/view.xhtml?edition=prelim&amp;num=0&amp;req=granuleid%3AUSC-prelim-title15-section6307e</x:v>
      </x:c>
    </x:row>
    <x:row r="5">
      <x:c r="A5" t="str">
        <x:v>Federal — Ali Act</x:v>
      </x:c>
      <x:c r="B5" t="str">
        <x:v>15 USC §6308(b)</x:v>
      </x:c>
      <x:c r="C5" t="str">
        <x:v>Promoter may not hold direct/indirect financial interest in boxer management; manager may not hold financial interest in promotion or be paid by promoter except consideration under manager-boxer contract.</x:v>
      </x:c>
      <x:c r="D5" t="str">
        <x:v>Firewall applies to boxers in matches of 10 rounds or more; boxer may self-promote/manage.</x:v>
      </x:c>
      <x:c r="E5" t="str">
        <x:v>Game/contracts should prevent promoter-manager cross-ownership for 10+ round professional bouts.</x:v>
      </x:c>
      <x:c r="F5" t="str">
        <x:v>https://uscode.house.gov/view.xhtml?edition=prelim&amp;num=0&amp;req=granuleid%3AUSC-prelim-title15-section6308</x:v>
      </x:c>
    </x:row>
    <x:row r="6">
      <x:c r="A6" t="str">
        <x:v>California</x:v>
      </x:c>
      <x:c r="B6" t="str">
        <x:v>4 CCR §221(b)</x:v>
      </x:c>
      <x:c r="C6" t="str">
        <x:v>Manager or group of managers: no more than 33⅓% of gross ring earnings.</x:v>
      </x:c>
      <x:c r="D6" t="str">
        <x:v>Current database through 28 Aug 2026; management contract regulation.</x:v>
      </x:c>
      <x:c r="E6" t="str">
        <x:v>Use 33.333% hard cap on manager share of gross ring earnings.</x:v>
      </x:c>
      <x:c r="F6" t="str">
        <x:v>https://govt.westlaw.com/calregs/Document/I8F319E03543B11ECAE2D000D3A7C4BC3</x:v>
      </x:c>
    </x:row>
    <x:row r="7">
      <x:c r="A7" t="str">
        <x:v>Nevada</x:v>
      </x:c>
      <x:c r="B7" t="str">
        <x:v>NAC 467.102(6)</x:v>
      </x:c>
      <x:c r="C7" t="str">
        <x:v>Manager(s) separately or collectively: no more than 33⅓% of unarmed combatant's ring earnings.</x:v>
      </x:c>
      <x:c r="D7" t="str">
        <x:v>Also management contract cannot be honored for &gt;4 years under same section.</x:v>
      </x:c>
      <x:c r="E7" t="str">
        <x:v>Use 33.333% hard cap in Nevada model.</x:v>
      </x:c>
      <x:c r="F7" t="str">
        <x:v>https://www.leg.state.nv.us/NAC/NAC-467.html</x:v>
      </x:c>
    </x:row>
    <x:row r="8">
      <x:c r="A8" t="str">
        <x:v>New Jersey</x:v>
      </x:c>
      <x:c r="B8" t="str">
        <x:v>N.J.A.C. 13:46-6.4</x:v>
      </x:c>
      <x:c r="C8" t="str">
        <x:v>Manager entitled to no more than 33⅓% of ring earnings under properly filed boxer-manager contract.</x:v>
      </x:c>
      <x:c r="D8" t="str">
        <x:v>NJ rule; official NJ code distributed via licensed publisher; Cornell reproduces current text.</x:v>
      </x:c>
      <x:c r="E8" t="str">
        <x:v>Use 33.333% hard cap; manager may request 1/3 purse hold if boxer performs without permission, subject to cause.</x:v>
      </x:c>
      <x:c r="F8" t="str">
        <x:v>https://www.law.cornell.edu/regulations/new-jersey/N-J-A-C-13-46-6-4</x:v>
      </x:c>
    </x:row>
    <x:row r="9">
      <x:c r="A9" t="str">
        <x:v>Texas</x:v>
      </x:c>
      <x:c r="B9" t="str">
        <x:v>16 TAC Ch. 61 / TDLR</x:v>
      </x:c>
      <x:c r="C9" t="str">
        <x:v>No percentage cap was verified in the current official Chapter 61 materials reviewed in this research.</x:v>
      </x:c>
      <x:c r="D9" t="str">
        <x:v>Do not infer a 33⅓% cap merely from other states; contract and federal law still apply. TDLR is reviewing Chapter 61 in 2026.</x:v>
      </x:c>
      <x:c r="E9" t="str">
        <x:v>Model as 'no verified state percentage cap' unless a specific Texas contract/rule establishes one; retain configurable value.</x:v>
      </x:c>
      <x:c r="F9" t="str">
        <x:v>https://www.tdlr.texas.gov/sports/laws-rules.htm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27" hidden="0" customWidth="1"/>
    <x:col min="4" max="4" width="26" hidden="0" customWidth="1"/>
    <x:col min="5" max="5" width="26" hidden="0" customWidth="1"/>
    <x:col min="6" max="6" width="17" hidden="0" customWidth="1"/>
    <x:col min="7" max="7" width="34" hidden="0" customWidth="1"/>
    <x:col min="8" max="8" width="18" hidden="0" customWidth="1"/>
    <x:col min="9" max="9" width="42" hidden="0" customWidth="1"/>
    <x:col min="10" max="10" width="72" hidden="0" customWidth="1"/>
    <x:col min="12" max="12" width="22" hidden="0" customWidth="1"/>
    <x:col min="13" max="13" width="22" hidden="0" customWidth="1"/>
  </x:cols>
  <x:sheetData>
    <x:row r="1">
      <x:c r="A1" s="20" t="str">
        <x:v>100 disclosed/commission-filed boxing purses — debut to PPV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3">
      <x:c r="A3" s="12" t="str">
        <x:v>State</x:v>
      </x:c>
      <x:c r="B3" s="12" t="str">
        <x:v>Event date</x:v>
      </x:c>
      <x:c r="C3" s="12" t="str">
        <x:v>Promoter / card</x:v>
      </x:c>
      <x:c r="D3" s="12" t="str">
        <x:v>Athlete</x:v>
      </x:c>
      <x:c r="E3" s="12" t="str">
        <x:v>Opponent / paired bout</x:v>
      </x:c>
      <x:c r="F3" s="12" t="str">
        <x:v>Scheduled rounds</x:v>
      </x:c>
      <x:c r="G3" s="12" t="str">
        <x:v>Pre-fight record / level</x:v>
      </x:c>
      <x:c r="H3" s="12" t="str">
        <x:v>Purse USD</x:v>
      </x:c>
      <x:c r="I3" s="12" t="str">
        <x:v>Evidence tier</x:v>
      </x:c>
      <x:c r="J3" s="12" t="str">
        <x:v>Source URL</x:v>
      </x:c>
      <x:c r="L3" s="12" t="str">
        <x:v>Metric</x:v>
      </x:c>
      <x:c r="M3" s="12" t="str">
        <x:v>Value</x:v>
      </x:c>
    </x:row>
    <x:row r="4">
      <x:c r="A4" t="str">
        <x:v>California</x:v>
      </x:c>
      <x:c r="B4" t="str">
        <x:v>2018-09-08</x:v>
      </x:c>
      <x:c r="C4" t="str">
        <x:v>360 Promotions</x:v>
      </x:c>
      <x:c r="D4" t="str">
        <x:v>Joselito Velasquez</x:v>
      </x:c>
      <x:c r="E4" t="str">
        <x:v>Jose Alfredo Flores Chanez</x:v>
      </x:c>
      <x:c r="F4"/>
      <x:c r="G4" t="str"/>
      <x:c r="H4" s="22" t="n">
        <x:v>3000</x:v>
      </x:c>
      <x:c r="I4" t="str">
        <x:v>Primary — CSAC supervisor report</x:v>
      </x:c>
      <x:c r="J4" t="str">
        <x:v>https://www.dca.ca.gov/csac/events/results/2018/20180908_360_promotions.pdf</x:v>
      </x:c>
      <x:c r="L4" t="str">
        <x:v>Records</x:v>
      </x:c>
      <x:c r="M4" t="n">
        <x:f>COUNTA(D4:D103)</x:f>
        <x:v>100</x:v>
      </x:c>
    </x:row>
    <x:row r="5">
      <x:c r="A5" t="str">
        <x:v>California</x:v>
      </x:c>
      <x:c r="B5" t="str">
        <x:v>2018-09-08</x:v>
      </x:c>
      <x:c r="C5" t="str">
        <x:v>360 Promotions</x:v>
      </x:c>
      <x:c r="D5" t="str">
        <x:v>Jose Alfredo Flores Chanez</x:v>
      </x:c>
      <x:c r="E5" t="str">
        <x:v>Joselito Velasquez</x:v>
      </x:c>
      <x:c r="F5"/>
      <x:c r="G5" t="str"/>
      <x:c r="H5" s="22" t="n">
        <x:v>1500</x:v>
      </x:c>
      <x:c r="I5" t="str">
        <x:v>Primary — CSAC supervisor report</x:v>
      </x:c>
      <x:c r="J5" t="str">
        <x:v>https://www.dca.ca.gov/csac/events/results/2018/20180908_360_promotions.pdf</x:v>
      </x:c>
      <x:c r="L5" t="str">
        <x:v>Minimum purse</x:v>
      </x:c>
      <x:c r="M5" s="22" t="n">
        <x:f>MIN(H4:H103)</x:f>
        <x:v>800</x:v>
      </x:c>
    </x:row>
    <x:row r="6">
      <x:c r="A6" t="str">
        <x:v>California</x:v>
      </x:c>
      <x:c r="B6" t="str">
        <x:v>2018-09-08</x:v>
      </x:c>
      <x:c r="C6" t="str">
        <x:v>360 Promotions</x:v>
      </x:c>
      <x:c r="D6" t="str">
        <x:v>Jonathan Esquivel</x:v>
      </x:c>
      <x:c r="E6" t="str">
        <x:v>Joann Valenzuela</x:v>
      </x:c>
      <x:c r="F6"/>
      <x:c r="G6" t="str"/>
      <x:c r="H6" s="22" t="n">
        <x:v>1500</x:v>
      </x:c>
      <x:c r="I6" t="str">
        <x:v>Primary — CSAC supervisor report</x:v>
      </x:c>
      <x:c r="J6" t="str">
        <x:v>https://www.dca.ca.gov/csac/events/results/2018/20180908_360_promotions.pdf</x:v>
      </x:c>
      <x:c r="L6" t="str">
        <x:v>Median purse</x:v>
      </x:c>
      <x:c r="M6" s="22" t="n">
        <x:f>MEDIAN(H4:H103)</x:f>
        <x:v>10500</x:v>
      </x:c>
    </x:row>
    <x:row r="7">
      <x:c r="A7" t="str">
        <x:v>California</x:v>
      </x:c>
      <x:c r="B7" t="str">
        <x:v>2018-09-08</x:v>
      </x:c>
      <x:c r="C7" t="str">
        <x:v>360 Promotions</x:v>
      </x:c>
      <x:c r="D7" t="str">
        <x:v>Joann Valenzuela</x:v>
      </x:c>
      <x:c r="E7" t="str">
        <x:v>Jonathan Esquivel</x:v>
      </x:c>
      <x:c r="F7"/>
      <x:c r="G7" t="str"/>
      <x:c r="H7" s="22" t="n">
        <x:v>3700</x:v>
      </x:c>
      <x:c r="I7" t="str">
        <x:v>Primary — CSAC supervisor report</x:v>
      </x:c>
      <x:c r="J7" t="str">
        <x:v>https://www.dca.ca.gov/csac/events/results/2018/20180908_360_promotions.pdf</x:v>
      </x:c>
      <x:c r="L7" t="str">
        <x:v>Maximum purse</x:v>
      </x:c>
      <x:c r="M7" s="22" t="n">
        <x:f>MAX(H4:H103)</x:f>
        <x:v>100000000</x:v>
      </x:c>
    </x:row>
    <x:row r="8">
      <x:c r="A8" t="str">
        <x:v>California</x:v>
      </x:c>
      <x:c r="B8" t="str">
        <x:v>2018-09-08</x:v>
      </x:c>
      <x:c r="C8" t="str">
        <x:v>360 Promotions</x:v>
      </x:c>
      <x:c r="D8" t="str">
        <x:v>Mario Ramos</x:v>
      </x:c>
      <x:c r="E8" t="str">
        <x:v>Alex Solorio</x:v>
      </x:c>
      <x:c r="F8"/>
      <x:c r="G8" t="str"/>
      <x:c r="H8" s="22" t="n">
        <x:v>2500</x:v>
      </x:c>
      <x:c r="I8" t="str">
        <x:v>Primary — CSAC supervisor report</x:v>
      </x:c>
      <x:c r="J8" t="str">
        <x:v>https://www.dca.ca.gov/csac/events/results/2018/20180908_360_promotions.pdf</x:v>
      </x:c>
      <x:c r="L8" t="str">
        <x:v>California rows</x:v>
      </x:c>
      <x:c r="M8" t="n">
        <x:f>COUNTIF(A4:A103,"California")</x:f>
        <x:v>72</x:v>
      </x:c>
    </x:row>
    <x:row r="9">
      <x:c r="A9" t="str">
        <x:v>California</x:v>
      </x:c>
      <x:c r="B9" t="str">
        <x:v>2018-09-08</x:v>
      </x:c>
      <x:c r="C9" t="str">
        <x:v>360 Promotions</x:v>
      </x:c>
      <x:c r="D9" t="str">
        <x:v>Alex Solorio</x:v>
      </x:c>
      <x:c r="E9" t="str">
        <x:v>Mario Ramos</x:v>
      </x:c>
      <x:c r="F9"/>
      <x:c r="G9" t="str"/>
      <x:c r="H9" s="22" t="n">
        <x:v>3000</x:v>
      </x:c>
      <x:c r="I9" t="str">
        <x:v>Primary — CSAC supervisor report</x:v>
      </x:c>
      <x:c r="J9" t="str">
        <x:v>https://www.dca.ca.gov/csac/events/results/2018/20180908_360_promotions.pdf</x:v>
      </x:c>
      <x:c r="L9" t="str">
        <x:v>Nevada rows</x:v>
      </x:c>
      <x:c r="M9" t="n">
        <x:f>COUNTIF(A4:A103,"Nevada")</x:f>
        <x:v>28</x:v>
      </x:c>
    </x:row>
    <x:row r="10">
      <x:c r="A10" t="str">
        <x:v>California</x:v>
      </x:c>
      <x:c r="B10" t="str">
        <x:v>2018-09-08</x:v>
      </x:c>
      <x:c r="C10" t="str">
        <x:v>360 Promotions</x:v>
      </x:c>
      <x:c r="D10" t="str">
        <x:v>Louisa Hawton</x:v>
      </x:c>
      <x:c r="E10" t="str">
        <x:v>Brenda Flores</x:v>
      </x:c>
      <x:c r="F10"/>
      <x:c r="G10" t="str"/>
      <x:c r="H10" s="22" t="n">
        <x:v>1500</x:v>
      </x:c>
      <x:c r="I10" t="str">
        <x:v>Primary — CSAC supervisor report</x:v>
      </x:c>
      <x:c r="J10" t="str">
        <x:v>https://www.dca.ca.gov/csac/events/results/2018/20180908_360_promotions.pdf</x:v>
      </x:c>
      <x:c r="L10" t="str">
        <x:v>Primary CSAC rows</x:v>
      </x:c>
      <x:c r="M10" t="n">
        <x:f>COUNTIF(I4:I103,"Primary*")</x:f>
        <x:v>0</x:v>
      </x:c>
    </x:row>
    <x:row r="11">
      <x:c r="A11" t="str">
        <x:v>California</x:v>
      </x:c>
      <x:c r="B11" t="str">
        <x:v>2018-09-08</x:v>
      </x:c>
      <x:c r="C11" t="str">
        <x:v>360 Promotions</x:v>
      </x:c>
      <x:c r="D11" t="str">
        <x:v>Brenda Flores</x:v>
      </x:c>
      <x:c r="E11" t="str">
        <x:v>Louisa Hawton</x:v>
      </x:c>
      <x:c r="F11"/>
      <x:c r="G11" t="str"/>
      <x:c r="H11" s="22" t="n">
        <x:v>1500</x:v>
      </x:c>
      <x:c r="I11" t="str">
        <x:v>Primary — CSAC supervisor report</x:v>
      </x:c>
      <x:c r="J11" t="str">
        <x:v>https://www.dca.ca.gov/csac/events/results/2018/20180908_360_promotions.pdf</x:v>
      </x:c>
    </x:row>
    <x:row r="12">
      <x:c r="A12" t="str">
        <x:v>California</x:v>
      </x:c>
      <x:c r="B12" t="str">
        <x:v>2018-09-08</x:v>
      </x:c>
      <x:c r="C12" t="str">
        <x:v>360 Promotions</x:v>
      </x:c>
      <x:c r="D12" t="str">
        <x:v>Alexandru Marin</x:v>
      </x:c>
      <x:c r="E12" t="str">
        <x:v>Bruno Escalante</x:v>
      </x:c>
      <x:c r="F12"/>
      <x:c r="G12" t="str"/>
      <x:c r="H12" s="22" t="n">
        <x:v>3000</x:v>
      </x:c>
      <x:c r="I12" t="str">
        <x:v>Primary — CSAC supervisor report</x:v>
      </x:c>
      <x:c r="J12" t="str">
        <x:v>https://www.dca.ca.gov/csac/events/results/2018/20180908_360_promotions.pdf</x:v>
      </x:c>
    </x:row>
    <x:row r="13">
      <x:c r="A13" t="str">
        <x:v>California</x:v>
      </x:c>
      <x:c r="B13" t="str">
        <x:v>2018-09-08</x:v>
      </x:c>
      <x:c r="C13" t="str">
        <x:v>360 Promotions</x:v>
      </x:c>
      <x:c r="D13" t="str">
        <x:v>Bruno Escalante</x:v>
      </x:c>
      <x:c r="E13" t="str">
        <x:v>Alexandru Marin</x:v>
      </x:c>
      <x:c r="F13"/>
      <x:c r="G13" t="str"/>
      <x:c r="H13" s="22" t="n">
        <x:v>10000</x:v>
      </x:c>
      <x:c r="I13" t="str">
        <x:v>Primary — CSAC supervisor report</x:v>
      </x:c>
      <x:c r="J13" t="str">
        <x:v>https://www.dca.ca.gov/csac/events/results/2018/20180908_360_promotions.pdf</x:v>
      </x:c>
    </x:row>
    <x:row r="14">
      <x:c r="A14" t="str">
        <x:v>California</x:v>
      </x:c>
      <x:c r="B14" t="str">
        <x:v>2018-09-08</x:v>
      </x:c>
      <x:c r="C14" t="str">
        <x:v>360 Promotions</x:v>
      </x:c>
      <x:c r="D14" t="str">
        <x:v>Kazuto Ioka</x:v>
      </x:c>
      <x:c r="E14" t="str">
        <x:v>McWilliams Arroyo</x:v>
      </x:c>
      <x:c r="F14"/>
      <x:c r="G14" t="str">
        <x:v>World-level card</x:v>
      </x:c>
      <x:c r="H14" s="22" t="n">
        <x:v>25000</x:v>
      </x:c>
      <x:c r="I14" t="str">
        <x:v>Primary — CSAC supervisor report</x:v>
      </x:c>
      <x:c r="J14" t="str">
        <x:v>https://www.dca.ca.gov/csac/events/results/2018/20180908_360_promotions.pdf</x:v>
      </x:c>
    </x:row>
    <x:row r="15">
      <x:c r="A15" t="str">
        <x:v>California</x:v>
      </x:c>
      <x:c r="B15" t="str">
        <x:v>2018-09-08</x:v>
      </x:c>
      <x:c r="C15" t="str">
        <x:v>360 Promotions</x:v>
      </x:c>
      <x:c r="D15" t="str">
        <x:v>McWilliams Arroyo</x:v>
      </x:c>
      <x:c r="E15" t="str">
        <x:v>Kazuto Ioka</x:v>
      </x:c>
      <x:c r="F15"/>
      <x:c r="G15" t="str">
        <x:v>World-level card</x:v>
      </x:c>
      <x:c r="H15" s="22" t="n">
        <x:v>50000</x:v>
      </x:c>
      <x:c r="I15" t="str">
        <x:v>Primary — CSAC supervisor report</x:v>
      </x:c>
      <x:c r="J15" t="str">
        <x:v>https://www.dca.ca.gov/csac/events/results/2018/20180908_360_promotions.pdf</x:v>
      </x:c>
    </x:row>
    <x:row r="16">
      <x:c r="A16" t="str">
        <x:v>California</x:v>
      </x:c>
      <x:c r="B16" t="str">
        <x:v>2018-09-08</x:v>
      </x:c>
      <x:c r="C16" t="str">
        <x:v>360 Promotions</x:v>
      </x:c>
      <x:c r="D16" t="str">
        <x:v>Donnie Nietes</x:v>
      </x:c>
      <x:c r="E16" t="str">
        <x:v>Aston Palicte</x:v>
      </x:c>
      <x:c r="F16" t="n">
        <x:v>12</x:v>
      </x:c>
      <x:c r="G16" t="str">
        <x:v>WBO World super flyweight title</x:v>
      </x:c>
      <x:c r="H16" s="22" t="n">
        <x:v>50000</x:v>
      </x:c>
      <x:c r="I16" t="str">
        <x:v>Primary — CSAC supervisor report</x:v>
      </x:c>
      <x:c r="J16" t="str">
        <x:v>https://www.dca.ca.gov/csac/events/results/2018/20180908_360_promotions.pdf</x:v>
      </x:c>
    </x:row>
    <x:row r="17">
      <x:c r="A17" t="str">
        <x:v>California</x:v>
      </x:c>
      <x:c r="B17" t="str">
        <x:v>2018-09-08</x:v>
      </x:c>
      <x:c r="C17" t="str">
        <x:v>360 Promotions</x:v>
      </x:c>
      <x:c r="D17" t="str">
        <x:v>Aston Palicte</x:v>
      </x:c>
      <x:c r="E17" t="str">
        <x:v>Donnie Nietes</x:v>
      </x:c>
      <x:c r="F17" t="n">
        <x:v>12</x:v>
      </x:c>
      <x:c r="G17" t="str">
        <x:v>WBO World super flyweight title</x:v>
      </x:c>
      <x:c r="H17" s="22" t="n">
        <x:v>20000</x:v>
      </x:c>
      <x:c r="I17" t="str">
        <x:v>Primary — CSAC supervisor report</x:v>
      </x:c>
      <x:c r="J17" t="str">
        <x:v>https://www.dca.ca.gov/csac/events/results/2018/20180908_360_promotions.pdf</x:v>
      </x:c>
    </x:row>
    <x:row r="18">
      <x:c r="A18" t="str">
        <x:v>California</x:v>
      </x:c>
      <x:c r="B18" t="str">
        <x:v>2018-09-08</x:v>
      </x:c>
      <x:c r="C18" t="str">
        <x:v>360 Promotions</x:v>
      </x:c>
      <x:c r="D18" t="str">
        <x:v>Juan Francisco Estrada</x:v>
      </x:c>
      <x:c r="E18" t="str">
        <x:v>Felipe Orucuta</x:v>
      </x:c>
      <x:c r="F18"/>
      <x:c r="G18" t="str">
        <x:v>World-level</x:v>
      </x:c>
      <x:c r="H18" s="22" t="n">
        <x:v>150000</x:v>
      </x:c>
      <x:c r="I18" t="str">
        <x:v>Primary — CSAC supervisor report</x:v>
      </x:c>
      <x:c r="J18" t="str">
        <x:v>https://www.dca.ca.gov/csac/events/results/2018/20180908_360_promotions.pdf</x:v>
      </x:c>
    </x:row>
    <x:row r="19">
      <x:c r="A19" t="str">
        <x:v>California</x:v>
      </x:c>
      <x:c r="B19" t="str">
        <x:v>2018-09-08</x:v>
      </x:c>
      <x:c r="C19" t="str">
        <x:v>360 Promotions</x:v>
      </x:c>
      <x:c r="D19" t="str">
        <x:v>Felipe Orucuta</x:v>
      </x:c>
      <x:c r="E19" t="str">
        <x:v>Juan Francisco Estrada</x:v>
      </x:c>
      <x:c r="F19"/>
      <x:c r="G19" t="str">
        <x:v>World-level</x:v>
      </x:c>
      <x:c r="H19" s="22" t="n">
        <x:v>25000</x:v>
      </x:c>
      <x:c r="I19" t="str">
        <x:v>Primary — CSAC supervisor report</x:v>
      </x:c>
      <x:c r="J19" t="str">
        <x:v>https://www.dca.ca.gov/csac/events/results/2018/20180908_360_promotions.pdf</x:v>
      </x:c>
    </x:row>
    <x:row r="20">
      <x:c r="A20" t="str">
        <x:v>California</x:v>
      </x:c>
      <x:c r="B20" t="str">
        <x:v>2018-09-29</x:v>
      </x:c>
      <x:c r="C20" t="str">
        <x:v>Golden Boy Promotions</x:v>
      </x:c>
      <x:c r="D20" t="str">
        <x:v>Elnur Abduraimov</x:v>
      </x:c>
      <x:c r="E20" t="str">
        <x:v>Aaron Hollis</x:v>
      </x:c>
      <x:c r="F20" t="n">
        <x:v>4</x:v>
      </x:c>
      <x:c r="G20" t="str">
        <x:v>Pro debut</x:v>
      </x:c>
      <x:c r="H20" s="22" t="n">
        <x:v>800</x:v>
      </x:c>
      <x:c r="I20" t="str">
        <x:v>Primary — CSAC supervisor report</x:v>
      </x:c>
      <x:c r="J20" t="str">
        <x:v>https://www.dca.ca.gov/csac/events/results/2018/20180929_golden_boy.pdf</x:v>
      </x:c>
    </x:row>
    <x:row r="21">
      <x:c r="A21" t="str">
        <x:v>California</x:v>
      </x:c>
      <x:c r="B21" t="str">
        <x:v>2018-09-29</x:v>
      </x:c>
      <x:c r="C21" t="str">
        <x:v>Golden Boy Promotions</x:v>
      </x:c>
      <x:c r="D21" t="str">
        <x:v>Aaron Hollis</x:v>
      </x:c>
      <x:c r="E21" t="str">
        <x:v>Elnur Abduraimov</x:v>
      </x:c>
      <x:c r="F21" t="n">
        <x:v>4</x:v>
      </x:c>
      <x:c r="G21" t="str">
        <x:v>4-7, 2 KO</x:v>
      </x:c>
      <x:c r="H21" s="22" t="n">
        <x:v>3000</x:v>
      </x:c>
      <x:c r="I21" t="str">
        <x:v>Primary — CSAC supervisor report</x:v>
      </x:c>
      <x:c r="J21" t="str">
        <x:v>https://www.dca.ca.gov/csac/events/results/2018/20180929_golden_boy.pdf</x:v>
      </x:c>
    </x:row>
    <x:row r="22">
      <x:c r="A22" t="str">
        <x:v>California</x:v>
      </x:c>
      <x:c r="B22" t="str">
        <x:v>2018-09-29</x:v>
      </x:c>
      <x:c r="C22" t="str">
        <x:v>Golden Boy Promotions</x:v>
      </x:c>
      <x:c r="D22" t="str">
        <x:v>Oscar Duarte</x:v>
      </x:c>
      <x:c r="E22" t="str">
        <x:v>Roger Gutierrez</x:v>
      </x:c>
      <x:c r="F22" t="n">
        <x:v>8</x:v>
      </x:c>
      <x:c r="G22" t="str">
        <x:v>14-0, 9 KO</x:v>
      </x:c>
      <x:c r="H22" s="22" t="n">
        <x:v>800</x:v>
      </x:c>
      <x:c r="I22" t="str">
        <x:v>Primary — CSAC supervisor report</x:v>
      </x:c>
      <x:c r="J22" t="str">
        <x:v>https://www.dca.ca.gov/csac/events/results/2018/20180929_golden_boy.pdf</x:v>
      </x:c>
    </x:row>
    <x:row r="23">
      <x:c r="A23" t="str">
        <x:v>California</x:v>
      </x:c>
      <x:c r="B23" t="str">
        <x:v>2018-09-29</x:v>
      </x:c>
      <x:c r="C23" t="str">
        <x:v>Golden Boy Promotions</x:v>
      </x:c>
      <x:c r="D23" t="str">
        <x:v>Roger Gutierrez</x:v>
      </x:c>
      <x:c r="E23" t="str">
        <x:v>Oscar Duarte</x:v>
      </x:c>
      <x:c r="F23" t="n">
        <x:v>8</x:v>
      </x:c>
      <x:c r="G23" t="str">
        <x:v>19-3-1, 16 KO</x:v>
      </x:c>
      <x:c r="H23" s="22" t="n">
        <x:v>1000</x:v>
      </x:c>
      <x:c r="I23" t="str">
        <x:v>Primary — CSAC supervisor report</x:v>
      </x:c>
      <x:c r="J23" t="str">
        <x:v>https://www.dca.ca.gov/csac/events/results/2018/20180929_golden_boy.pdf</x:v>
      </x:c>
    </x:row>
    <x:row r="24">
      <x:c r="A24" t="str">
        <x:v>California</x:v>
      </x:c>
      <x:c r="B24" t="str">
        <x:v>2018-09-29</x:v>
      </x:c>
      <x:c r="C24" t="str">
        <x:v>Golden Boy Promotions</x:v>
      </x:c>
      <x:c r="D24" t="str">
        <x:v>Travell Mazion</x:v>
      </x:c>
      <x:c r="E24" t="str">
        <x:v>Allan Zavala</x:v>
      </x:c>
      <x:c r="F24" t="n">
        <x:v>8</x:v>
      </x:c>
      <x:c r="G24" t="str">
        <x:v>13-0, 11 KO</x:v>
      </x:c>
      <x:c r="H24" s="22" t="n">
        <x:v>12000</x:v>
      </x:c>
      <x:c r="I24" t="str">
        <x:v>Primary — CSAC supervisor report</x:v>
      </x:c>
      <x:c r="J24" t="str">
        <x:v>https://www.dca.ca.gov/csac/events/results/2018/20180929_golden_boy.pdf</x:v>
      </x:c>
    </x:row>
    <x:row r="25">
      <x:c r="A25" t="str">
        <x:v>California</x:v>
      </x:c>
      <x:c r="B25" t="str">
        <x:v>2018-09-29</x:v>
      </x:c>
      <x:c r="C25" t="str">
        <x:v>Golden Boy Promotions</x:v>
      </x:c>
      <x:c r="D25" t="str">
        <x:v>Allan Zavala</x:v>
      </x:c>
      <x:c r="E25" t="str">
        <x:v>Travell Mazion</x:v>
      </x:c>
      <x:c r="F25" t="n">
        <x:v>8</x:v>
      </x:c>
      <x:c r="G25" t="str">
        <x:v>15-2, 13 KO</x:v>
      </x:c>
      <x:c r="H25" s="22" t="n">
        <x:v>3500</x:v>
      </x:c>
      <x:c r="I25" t="str">
        <x:v>Primary — CSAC supervisor report</x:v>
      </x:c>
      <x:c r="J25" t="str">
        <x:v>https://www.dca.ca.gov/csac/events/results/2018/20180929_golden_boy.pdf</x:v>
      </x:c>
    </x:row>
    <x:row r="26">
      <x:c r="A26" t="str">
        <x:v>California</x:v>
      </x:c>
      <x:c r="B26" t="str">
        <x:v>2018-09-29</x:v>
      </x:c>
      <x:c r="C26" t="str">
        <x:v>Golden Boy Promotions</x:v>
      </x:c>
      <x:c r="D26" t="str">
        <x:v>Romero Duno</x:v>
      </x:c>
      <x:c r="E26" t="str">
        <x:v>Eziquiel Aviles</x:v>
      </x:c>
      <x:c r="F26" t="n">
        <x:v>8</x:v>
      </x:c>
      <x:c r="G26" t="str">
        <x:v>17-1, 14 KO</x:v>
      </x:c>
      <x:c r="H26" s="22" t="n">
        <x:v>15000</x:v>
      </x:c>
      <x:c r="I26" t="str">
        <x:v>Primary — CSAC supervisor report</x:v>
      </x:c>
      <x:c r="J26" t="str">
        <x:v>https://www.dca.ca.gov/csac/events/results/2018/20180929_golden_boy.pdf</x:v>
      </x:c>
    </x:row>
    <x:row r="27">
      <x:c r="A27" t="str">
        <x:v>California</x:v>
      </x:c>
      <x:c r="B27" t="str">
        <x:v>2018-09-29</x:v>
      </x:c>
      <x:c r="C27" t="str">
        <x:v>Golden Boy Promotions</x:v>
      </x:c>
      <x:c r="D27" t="str">
        <x:v>Eziquiel Aviles</x:v>
      </x:c>
      <x:c r="E27" t="str">
        <x:v>Romero Duno</x:v>
      </x:c>
      <x:c r="F27" t="n">
        <x:v>8</x:v>
      </x:c>
      <x:c r="G27" t="str">
        <x:v>16-2-3, 6 KO</x:v>
      </x:c>
      <x:c r="H27" s="22" t="n">
        <x:v>6000</x:v>
      </x:c>
      <x:c r="I27" t="str">
        <x:v>Primary — CSAC supervisor report</x:v>
      </x:c>
      <x:c r="J27" t="str">
        <x:v>https://www.dca.ca.gov/csac/events/results/2018/20180929_golden_boy.pdf</x:v>
      </x:c>
    </x:row>
    <x:row r="28">
      <x:c r="A28" t="str">
        <x:v>California</x:v>
      </x:c>
      <x:c r="B28" t="str">
        <x:v>2018-09-29</x:v>
      </x:c>
      <x:c r="C28" t="str">
        <x:v>Golden Boy Promotions</x:v>
      </x:c>
      <x:c r="D28" t="str">
        <x:v>Jorge Linares</x:v>
      </x:c>
      <x:c r="E28" t="str">
        <x:v>Abner Cotto</x:v>
      </x:c>
      <x:c r="F28" t="n">
        <x:v>12</x:v>
      </x:c>
      <x:c r="G28" t="str">
        <x:v>44-4, 27 KO; elite</x:v>
      </x:c>
      <x:c r="H28" s="22" t="n">
        <x:v>200000</x:v>
      </x:c>
      <x:c r="I28" t="str">
        <x:v>Primary — CSAC supervisor report</x:v>
      </x:c>
      <x:c r="J28" t="str">
        <x:v>https://www.dca.ca.gov/csac/events/results/2018/20180929_golden_boy.pdf</x:v>
      </x:c>
    </x:row>
    <x:row r="29">
      <x:c r="A29" t="str">
        <x:v>California</x:v>
      </x:c>
      <x:c r="B29" t="str">
        <x:v>2018-09-29</x:v>
      </x:c>
      <x:c r="C29" t="str">
        <x:v>Golden Boy Promotions</x:v>
      </x:c>
      <x:c r="D29" t="str">
        <x:v>Abner Cotto</x:v>
      </x:c>
      <x:c r="E29" t="str">
        <x:v>Jorge Linares</x:v>
      </x:c>
      <x:c r="F29" t="n">
        <x:v>12</x:v>
      </x:c>
      <x:c r="G29" t="str">
        <x:v>23-3, 12 KO</x:v>
      </x:c>
      <x:c r="H29" s="22" t="n">
        <x:v>45000</x:v>
      </x:c>
      <x:c r="I29" t="str">
        <x:v>Primary — CSAC supervisor report</x:v>
      </x:c>
      <x:c r="J29" t="str">
        <x:v>https://www.dca.ca.gov/csac/events/results/2018/20180929_golden_boy.pdf</x:v>
      </x:c>
    </x:row>
    <x:row r="30">
      <x:c r="A30" t="str">
        <x:v>California</x:v>
      </x:c>
      <x:c r="B30" t="str">
        <x:v>2018-04-12</x:v>
      </x:c>
      <x:c r="C30" t="str">
        <x:v>Golden Boy Promotions</x:v>
      </x:c>
      <x:c r="D30" t="str">
        <x:v>Jonathan Navarro</x:v>
      </x:c>
      <x:c r="E30" t="str">
        <x:v>Justin Savi</x:v>
      </x:c>
      <x:c r="F30"/>
      <x:c r="G30" t="str"/>
      <x:c r="H30" s="22" t="n">
        <x:v>10000</x:v>
      </x:c>
      <x:c r="I30" t="str">
        <x:v>Primary — CSAC supervisor report</x:v>
      </x:c>
      <x:c r="J30" t="str">
        <x:v>https://www.dca.ca.gov/csac/events/results/2018/20180412_goldenboy.pdf</x:v>
      </x:c>
    </x:row>
    <x:row r="31">
      <x:c r="A31" t="str">
        <x:v>California</x:v>
      </x:c>
      <x:c r="B31" t="str">
        <x:v>2018-04-12</x:v>
      </x:c>
      <x:c r="C31" t="str">
        <x:v>Golden Boy Promotions</x:v>
      </x:c>
      <x:c r="D31" t="str">
        <x:v>Justin Savi</x:v>
      </x:c>
      <x:c r="E31" t="str">
        <x:v>Jonathan Navarro</x:v>
      </x:c>
      <x:c r="F31"/>
      <x:c r="G31" t="str"/>
      <x:c r="H31" s="22" t="n">
        <x:v>3500</x:v>
      </x:c>
      <x:c r="I31" t="str">
        <x:v>Primary — CSAC supervisor report</x:v>
      </x:c>
      <x:c r="J31" t="str">
        <x:v>https://www.dca.ca.gov/csac/events/results/2018/20180412_goldenboy.pdf</x:v>
      </x:c>
    </x:row>
    <x:row r="32">
      <x:c r="A32" t="str">
        <x:v>California</x:v>
      </x:c>
      <x:c r="B32" t="str">
        <x:v>2018-04-12</x:v>
      </x:c>
      <x:c r="C32" t="str">
        <x:v>Golden Boy Promotions</x:v>
      </x:c>
      <x:c r="D32" t="str">
        <x:v>Genaro Gamez</x:v>
      </x:c>
      <x:c r="E32" t="str">
        <x:v>Shoki Sakai</x:v>
      </x:c>
      <x:c r="F32"/>
      <x:c r="G32" t="str"/>
      <x:c r="H32" s="22" t="n">
        <x:v>6000</x:v>
      </x:c>
      <x:c r="I32" t="str">
        <x:v>Primary — CSAC supervisor report</x:v>
      </x:c>
      <x:c r="J32" t="str">
        <x:v>https://www.dca.ca.gov/csac/events/results/2018/20180412_goldenboy.pdf</x:v>
      </x:c>
    </x:row>
    <x:row r="33">
      <x:c r="A33" t="str">
        <x:v>California</x:v>
      </x:c>
      <x:c r="B33" t="str">
        <x:v>2018-04-12</x:v>
      </x:c>
      <x:c r="C33" t="str">
        <x:v>Golden Boy Promotions</x:v>
      </x:c>
      <x:c r="D33" t="str">
        <x:v>Shoki Sakai</x:v>
      </x:c>
      <x:c r="E33" t="str">
        <x:v>Genaro Gamez</x:v>
      </x:c>
      <x:c r="F33"/>
      <x:c r="G33" t="str"/>
      <x:c r="H33" s="22" t="n">
        <x:v>3000</x:v>
      </x:c>
      <x:c r="I33" t="str">
        <x:v>Primary — CSAC supervisor report</x:v>
      </x:c>
      <x:c r="J33" t="str">
        <x:v>https://www.dca.ca.gov/csac/events/results/2018/20180412_goldenboy.pdf</x:v>
      </x:c>
    </x:row>
    <x:row r="34">
      <x:c r="A34" t="str">
        <x:v>California</x:v>
      </x:c>
      <x:c r="B34" t="str">
        <x:v>2018-04-12</x:v>
      </x:c>
      <x:c r="C34" t="str">
        <x:v>Golden Boy Promotions</x:v>
      </x:c>
      <x:c r="D34" t="str">
        <x:v>Aaron McKenna</x:v>
      </x:c>
      <x:c r="E34" t="str">
        <x:v>Keasen Freeman</x:v>
      </x:c>
      <x:c r="F34"/>
      <x:c r="G34" t="str"/>
      <x:c r="H34" s="22" t="n">
        <x:v>2500</x:v>
      </x:c>
      <x:c r="I34" t="str">
        <x:v>Primary — CSAC supervisor report</x:v>
      </x:c>
      <x:c r="J34" t="str">
        <x:v>https://www.dca.ca.gov/csac/events/results/2018/20180412_goldenboy.pdf</x:v>
      </x:c>
    </x:row>
    <x:row r="35">
      <x:c r="A35" t="str">
        <x:v>California</x:v>
      </x:c>
      <x:c r="B35" t="str">
        <x:v>2018-04-12</x:v>
      </x:c>
      <x:c r="C35" t="str">
        <x:v>Golden Boy Promotions</x:v>
      </x:c>
      <x:c r="D35" t="str">
        <x:v>Keasen Freeman</x:v>
      </x:c>
      <x:c r="E35" t="str">
        <x:v>Aaron McKenna</x:v>
      </x:c>
      <x:c r="F35"/>
      <x:c r="G35" t="str"/>
      <x:c r="H35" s="22" t="n">
        <x:v>2000</x:v>
      </x:c>
      <x:c r="I35" t="str">
        <x:v>Primary — CSAC supervisor report</x:v>
      </x:c>
      <x:c r="J35" t="str">
        <x:v>https://www.dca.ca.gov/csac/events/results/2018/20180412_goldenboy.pdf</x:v>
      </x:c>
    </x:row>
    <x:row r="36">
      <x:c r="A36" t="str">
        <x:v>California</x:v>
      </x:c>
      <x:c r="B36" t="str">
        <x:v>2018-04-12</x:v>
      </x:c>
      <x:c r="C36" t="str">
        <x:v>Golden Boy Promotions</x:v>
      </x:c>
      <x:c r="D36" t="str">
        <x:v>Javier Padilla</x:v>
      </x:c>
      <x:c r="E36" t="str">
        <x:v>Ricardo Arias</x:v>
      </x:c>
      <x:c r="F36"/>
      <x:c r="G36" t="str"/>
      <x:c r="H36" s="22" t="n">
        <x:v>2000</x:v>
      </x:c>
      <x:c r="I36" t="str">
        <x:v>Primary — CSAC supervisor report</x:v>
      </x:c>
      <x:c r="J36" t="str">
        <x:v>https://www.dca.ca.gov/csac/events/results/2018/20180412_goldenboy.pdf</x:v>
      </x:c>
    </x:row>
    <x:row r="37">
      <x:c r="A37" t="str">
        <x:v>California</x:v>
      </x:c>
      <x:c r="B37" t="str">
        <x:v>2018-04-12</x:v>
      </x:c>
      <x:c r="C37" t="str">
        <x:v>Golden Boy Promotions</x:v>
      </x:c>
      <x:c r="D37" t="str">
        <x:v>Ricardo Arias</x:v>
      </x:c>
      <x:c r="E37" t="str">
        <x:v>Javier Padilla</x:v>
      </x:c>
      <x:c r="F37"/>
      <x:c r="G37" t="str"/>
      <x:c r="H37" s="22" t="n">
        <x:v>1800</x:v>
      </x:c>
      <x:c r="I37" t="str">
        <x:v>Primary — CSAC supervisor report</x:v>
      </x:c>
      <x:c r="J37" t="str">
        <x:v>https://www.dca.ca.gov/csac/events/results/2018/20180412_goldenboy.pdf</x:v>
      </x:c>
    </x:row>
    <x:row r="38">
      <x:c r="A38" t="str">
        <x:v>California</x:v>
      </x:c>
      <x:c r="B38" t="str">
        <x:v>2018-04-12</x:v>
      </x:c>
      <x:c r="C38" t="str">
        <x:v>Golden Boy Promotions</x:v>
      </x:c>
      <x:c r="D38" t="str">
        <x:v>Aidar Sharibayev</x:v>
      </x:c>
      <x:c r="E38" t="str">
        <x:v>Andrew Cancio</x:v>
      </x:c>
      <x:c r="F38"/>
      <x:c r="G38" t="str"/>
      <x:c r="H38" s="22" t="n">
        <x:v>3000</x:v>
      </x:c>
      <x:c r="I38" t="str">
        <x:v>Primary — CSAC supervisor report</x:v>
      </x:c>
      <x:c r="J38" t="str">
        <x:v>https://www.dca.ca.gov/csac/events/results/2018/20180412_goldenboy.pdf</x:v>
      </x:c>
    </x:row>
    <x:row r="39">
      <x:c r="A39" t="str">
        <x:v>California</x:v>
      </x:c>
      <x:c r="B39" t="str">
        <x:v>2018-04-12</x:v>
      </x:c>
      <x:c r="C39" t="str">
        <x:v>Golden Boy Promotions</x:v>
      </x:c>
      <x:c r="D39" t="str">
        <x:v>Andrew Cancio</x:v>
      </x:c>
      <x:c r="E39" t="str">
        <x:v>Aidar Sharibayev</x:v>
      </x:c>
      <x:c r="F39"/>
      <x:c r="G39" t="str"/>
      <x:c r="H39" s="22" t="n">
        <x:v>11000</x:v>
      </x:c>
      <x:c r="I39" t="str">
        <x:v>Primary — CSAC supervisor report</x:v>
      </x:c>
      <x:c r="J39" t="str">
        <x:v>https://www.dca.ca.gov/csac/events/results/2018/20180412_goldenboy.pdf</x:v>
      </x:c>
    </x:row>
    <x:row r="40">
      <x:c r="A40" t="str">
        <x:v>California</x:v>
      </x:c>
      <x:c r="B40" t="str">
        <x:v>2018-04-12</x:v>
      </x:c>
      <x:c r="C40" t="str">
        <x:v>Golden Boy Promotions</x:v>
      </x:c>
      <x:c r="D40" t="str">
        <x:v>Rommel Caballero</x:v>
      </x:c>
      <x:c r="E40" t="str">
        <x:v>Eric Rodriguez</x:v>
      </x:c>
      <x:c r="F40"/>
      <x:c r="G40" t="str">
        <x:v>Pro debut</x:v>
      </x:c>
      <x:c r="H40" s="22" t="n">
        <x:v>2000</x:v>
      </x:c>
      <x:c r="I40" t="str">
        <x:v>Primary — CSAC supervisor report</x:v>
      </x:c>
      <x:c r="J40" t="str">
        <x:v>https://www.dca.ca.gov/csac/events/results/2018/20180412_goldenboy.pdf</x:v>
      </x:c>
    </x:row>
    <x:row r="41">
      <x:c r="A41" t="str">
        <x:v>California</x:v>
      </x:c>
      <x:c r="B41" t="str">
        <x:v>2018-04-12</x:v>
      </x:c>
      <x:c r="C41" t="str">
        <x:v>Golden Boy Promotions</x:v>
      </x:c>
      <x:c r="D41" t="str">
        <x:v>Eric Rodriguez</x:v>
      </x:c>
      <x:c r="E41" t="str">
        <x:v>Rommel Caballero</x:v>
      </x:c>
      <x:c r="F41"/>
      <x:c r="G41" t="str"/>
      <x:c r="H41" s="22" t="n">
        <x:v>1500</x:v>
      </x:c>
      <x:c r="I41" t="str">
        <x:v>Primary — CSAC supervisor report</x:v>
      </x:c>
      <x:c r="J41" t="str">
        <x:v>https://www.dca.ca.gov/csac/events/results/2018/20180412_goldenboy.pdf</x:v>
      </x:c>
    </x:row>
    <x:row r="42">
      <x:c r="A42" t="str">
        <x:v>California</x:v>
      </x:c>
      <x:c r="B42" t="str">
        <x:v>2018-04-12</x:v>
      </x:c>
      <x:c r="C42" t="str">
        <x:v>Golden Boy Promotions</x:v>
      </x:c>
      <x:c r="D42" t="str">
        <x:v>Francisco Vargas</x:v>
      </x:c>
      <x:c r="E42" t="str">
        <x:v>Rod Salka</x:v>
      </x:c>
      <x:c r="F42"/>
      <x:c r="G42" t="str">
        <x:v>World-level veteran</x:v>
      </x:c>
      <x:c r="H42" s="22" t="n">
        <x:v>25000</x:v>
      </x:c>
      <x:c r="I42" t="str">
        <x:v>Primary — CSAC supervisor report</x:v>
      </x:c>
      <x:c r="J42" t="str">
        <x:v>https://www.dca.ca.gov/csac/events/results/2018/20180412_goldenboy.pdf</x:v>
      </x:c>
    </x:row>
    <x:row r="43">
      <x:c r="A43" t="str">
        <x:v>California</x:v>
      </x:c>
      <x:c r="B43" t="str">
        <x:v>2018-04-12</x:v>
      </x:c>
      <x:c r="C43" t="str">
        <x:v>Golden Boy Promotions</x:v>
      </x:c>
      <x:c r="D43" t="str">
        <x:v>Rod Salka</x:v>
      </x:c>
      <x:c r="E43" t="str">
        <x:v>Francisco Vargas</x:v>
      </x:c>
      <x:c r="F43"/>
      <x:c r="G43" t="str"/>
      <x:c r="H43" s="22" t="n">
        <x:v>13000</x:v>
      </x:c>
      <x:c r="I43" t="str">
        <x:v>Primary — CSAC supervisor report</x:v>
      </x:c>
      <x:c r="J43" t="str">
        <x:v>https://www.dca.ca.gov/csac/events/results/2018/20180412_goldenboy.pdf</x:v>
      </x:c>
    </x:row>
    <x:row r="44">
      <x:c r="A44" t="str">
        <x:v>California</x:v>
      </x:c>
      <x:c r="B44" t="str">
        <x:v>2019-06-21</x:v>
      </x:c>
      <x:c r="C44" t="str">
        <x:v>Golden Boy Promotions</x:v>
      </x:c>
      <x:c r="D44" t="str">
        <x:v>Emilio Rodriguez</x:v>
      </x:c>
      <x:c r="E44" t="str">
        <x:v>Clay Collard</x:v>
      </x:c>
      <x:c r="F44" t="n">
        <x:v>4</x:v>
      </x:c>
      <x:c r="G44" t="str">
        <x:v>3-1, 2 KO</x:v>
      </x:c>
      <x:c r="H44" s="22" t="n">
        <x:v>2000</x:v>
      </x:c>
      <x:c r="I44" t="str">
        <x:v>Primary — CSAC supervisor report</x:v>
      </x:c>
      <x:c r="J44" t="str">
        <x:v>https://www.dca.ca.gov/csac/events/results/2019/20190621_goldenboy.pdf</x:v>
      </x:c>
    </x:row>
    <x:row r="45">
      <x:c r="A45" t="str">
        <x:v>California</x:v>
      </x:c>
      <x:c r="B45" t="str">
        <x:v>2019-06-21</x:v>
      </x:c>
      <x:c r="C45" t="str">
        <x:v>Golden Boy Promotions</x:v>
      </x:c>
      <x:c r="D45" t="str">
        <x:v>Clay Collard</x:v>
      </x:c>
      <x:c r="E45" t="str">
        <x:v>Emilio Rodriguez</x:v>
      </x:c>
      <x:c r="F45" t="n">
        <x:v>4</x:v>
      </x:c>
      <x:c r="G45" t="str">
        <x:v>1-1-1</x:v>
      </x:c>
      <x:c r="H45" s="22" t="n">
        <x:v>1800</x:v>
      </x:c>
      <x:c r="I45" t="str">
        <x:v>Primary — CSAC supervisor report</x:v>
      </x:c>
      <x:c r="J45" t="str">
        <x:v>https://www.dca.ca.gov/csac/events/results/2019/20190621_goldenboy.pdf</x:v>
      </x:c>
    </x:row>
    <x:row r="46">
      <x:c r="A46" t="str">
        <x:v>California</x:v>
      </x:c>
      <x:c r="B46" t="str">
        <x:v>2019-06-21</x:v>
      </x:c>
      <x:c r="C46" t="str">
        <x:v>Golden Boy Promotions</x:v>
      </x:c>
      <x:c r="D46" t="str">
        <x:v>Anthony Garnica</x:v>
      </x:c>
      <x:c r="E46" t="str">
        <x:v>Gilberto Duran</x:v>
      </x:c>
      <x:c r="F46" t="n">
        <x:v>4</x:v>
      </x:c>
      <x:c r="G46" t="str">
        <x:v>1-0, 1 KO</x:v>
      </x:c>
      <x:c r="H46" s="22" t="n">
        <x:v>1500</x:v>
      </x:c>
      <x:c r="I46" t="str">
        <x:v>Primary — CSAC supervisor report</x:v>
      </x:c>
      <x:c r="J46" t="str">
        <x:v>https://www.dca.ca.gov/csac/events/results/2019/20190621_goldenboy.pdf</x:v>
      </x:c>
    </x:row>
    <x:row r="47">
      <x:c r="A47" t="str">
        <x:v>California</x:v>
      </x:c>
      <x:c r="B47" t="str">
        <x:v>2019-06-21</x:v>
      </x:c>
      <x:c r="C47" t="str">
        <x:v>Golden Boy Promotions</x:v>
      </x:c>
      <x:c r="D47" t="str">
        <x:v>Gilberto Duran</x:v>
      </x:c>
      <x:c r="E47" t="str">
        <x:v>Anthony Garnica</x:v>
      </x:c>
      <x:c r="F47" t="n">
        <x:v>4</x:v>
      </x:c>
      <x:c r="G47" t="str">
        <x:v>3-2, 3 KO</x:v>
      </x:c>
      <x:c r="H47" s="22" t="n">
        <x:v>2000</x:v>
      </x:c>
      <x:c r="I47" t="str">
        <x:v>Primary — CSAC supervisor report</x:v>
      </x:c>
      <x:c r="J47" t="str">
        <x:v>https://www.dca.ca.gov/csac/events/results/2019/20190621_goldenboy.pdf</x:v>
      </x:c>
    </x:row>
    <x:row r="48">
      <x:c r="A48" t="str">
        <x:v>California</x:v>
      </x:c>
      <x:c r="B48" t="str">
        <x:v>2019-06-21</x:v>
      </x:c>
      <x:c r="C48" t="str">
        <x:v>Golden Boy Promotions</x:v>
      </x:c>
      <x:c r="D48" t="str">
        <x:v>Aaron McKenna</x:v>
      </x:c>
      <x:c r="E48" t="str">
        <x:v>Daniel Perales</x:v>
      </x:c>
      <x:c r="F48" t="n">
        <x:v>4</x:v>
      </x:c>
      <x:c r="G48" t="str">
        <x:v>7-0, 4 KO</x:v>
      </x:c>
      <x:c r="H48" s="22" t="n">
        <x:v>3500</x:v>
      </x:c>
      <x:c r="I48" t="str">
        <x:v>Primary — CSAC supervisor report</x:v>
      </x:c>
      <x:c r="J48" t="str">
        <x:v>https://www.dca.ca.gov/csac/events/results/2019/20190621_goldenboy.pdf</x:v>
      </x:c>
    </x:row>
    <x:row r="49">
      <x:c r="A49" t="str">
        <x:v>California</x:v>
      </x:c>
      <x:c r="B49" t="str">
        <x:v>2019-06-21</x:v>
      </x:c>
      <x:c r="C49" t="str">
        <x:v>Golden Boy Promotions</x:v>
      </x:c>
      <x:c r="D49" t="str">
        <x:v>Daniel Perales</x:v>
      </x:c>
      <x:c r="E49" t="str">
        <x:v>Aaron McKenna</x:v>
      </x:c>
      <x:c r="F49" t="n">
        <x:v>4</x:v>
      </x:c>
      <x:c r="G49" t="str">
        <x:v>10-17-2, 5 KO</x:v>
      </x:c>
      <x:c r="H49" s="22" t="n">
        <x:v>3000</x:v>
      </x:c>
      <x:c r="I49" t="str">
        <x:v>Primary — CSAC supervisor report</x:v>
      </x:c>
      <x:c r="J49" t="str">
        <x:v>https://www.dca.ca.gov/csac/events/results/2019/20190621_goldenboy.pdf</x:v>
      </x:c>
    </x:row>
    <x:row r="50">
      <x:c r="A50" t="str">
        <x:v>California</x:v>
      </x:c>
      <x:c r="B50" t="str">
        <x:v>2019-06-21</x:v>
      </x:c>
      <x:c r="C50" t="str">
        <x:v>Golden Boy Promotions</x:v>
      </x:c>
      <x:c r="D50" t="str">
        <x:v>Blair Cobbs</x:v>
      </x:c>
      <x:c r="E50" t="str">
        <x:v>Robert Redmond Jr</x:v>
      </x:c>
      <x:c r="F50" t="n">
        <x:v>8</x:v>
      </x:c>
      <x:c r="G50" t="str">
        <x:v>10-0-1, 6 KO</x:v>
      </x:c>
      <x:c r="H50" s="22" t="n">
        <x:v>6500</x:v>
      </x:c>
      <x:c r="I50" t="str">
        <x:v>Primary — CSAC supervisor report</x:v>
      </x:c>
      <x:c r="J50" t="str">
        <x:v>https://www.dca.ca.gov/csac/events/results/2019/20190621_goldenboy.pdf</x:v>
      </x:c>
    </x:row>
    <x:row r="51">
      <x:c r="A51" t="str">
        <x:v>California</x:v>
      </x:c>
      <x:c r="B51" t="str">
        <x:v>2019-06-21</x:v>
      </x:c>
      <x:c r="C51" t="str">
        <x:v>Golden Boy Promotions</x:v>
      </x:c>
      <x:c r="D51" t="str">
        <x:v>Robert Redmond Jr</x:v>
      </x:c>
      <x:c r="E51" t="str">
        <x:v>Blair Cobbs</x:v>
      </x:c>
      <x:c r="F51" t="n">
        <x:v>8</x:v>
      </x:c>
      <x:c r="G51" t="str">
        <x:v>7-1-2, 6 KO</x:v>
      </x:c>
      <x:c r="H51" s="22" t="n">
        <x:v>7500</x:v>
      </x:c>
      <x:c r="I51" t="str">
        <x:v>Primary — CSAC supervisor report</x:v>
      </x:c>
      <x:c r="J51" t="str">
        <x:v>https://www.dca.ca.gov/csac/events/results/2019/20190621_goldenboy.pdf</x:v>
      </x:c>
    </x:row>
    <x:row r="52">
      <x:c r="A52" t="str">
        <x:v>California</x:v>
      </x:c>
      <x:c r="B52" t="str">
        <x:v>2019-06-21</x:v>
      </x:c>
      <x:c r="C52" t="str">
        <x:v>Golden Boy Promotions</x:v>
      </x:c>
      <x:c r="D52" t="str">
        <x:v>Luis Feliciano</x:v>
      </x:c>
      <x:c r="E52" t="str">
        <x:v>Fernando Carcamo</x:v>
      </x:c>
      <x:c r="F52" t="n">
        <x:v>10</x:v>
      </x:c>
      <x:c r="G52" t="str">
        <x:v>11-0, 7 KO</x:v>
      </x:c>
      <x:c r="H52" s="22" t="n">
        <x:v>10000</x:v>
      </x:c>
      <x:c r="I52" t="str">
        <x:v>Primary — CSAC supervisor report</x:v>
      </x:c>
      <x:c r="J52" t="str">
        <x:v>https://www.dca.ca.gov/csac/events/results/2019/20190621_goldenboy.pdf</x:v>
      </x:c>
    </x:row>
    <x:row r="53">
      <x:c r="A53" t="str">
        <x:v>California</x:v>
      </x:c>
      <x:c r="B53" t="str">
        <x:v>2019-06-21</x:v>
      </x:c>
      <x:c r="C53" t="str">
        <x:v>Golden Boy Promotions</x:v>
      </x:c>
      <x:c r="D53" t="str">
        <x:v>Fernando Carcamo</x:v>
      </x:c>
      <x:c r="E53" t="str">
        <x:v>Luis Feliciano</x:v>
      </x:c>
      <x:c r="F53" t="n">
        <x:v>10</x:v>
      </x:c>
      <x:c r="G53" t="str">
        <x:v>23-9, 18 KO</x:v>
      </x:c>
      <x:c r="H53" s="22" t="n">
        <x:v>8000</x:v>
      </x:c>
      <x:c r="I53" t="str">
        <x:v>Primary — CSAC supervisor report</x:v>
      </x:c>
      <x:c r="J53" t="str">
        <x:v>https://www.dca.ca.gov/csac/events/results/2019/20190621_goldenboy.pdf</x:v>
      </x:c>
    </x:row>
    <x:row r="54">
      <x:c r="A54" t="str">
        <x:v>California</x:v>
      </x:c>
      <x:c r="B54" t="str">
        <x:v>2019-06-21</x:v>
      </x:c>
      <x:c r="C54" t="str">
        <x:v>Golden Boy Promotions</x:v>
      </x:c>
      <x:c r="D54" t="str">
        <x:v>Angel Acosta</x:v>
      </x:c>
      <x:c r="E54" t="str">
        <x:v>Elwin Soto</x:v>
      </x:c>
      <x:c r="F54" t="n">
        <x:v>12</x:v>
      </x:c>
      <x:c r="G54" t="str">
        <x:v>19-1, 19 KO; WBO title</x:v>
      </x:c>
      <x:c r="H54" s="22" t="n">
        <x:v>75000</x:v>
      </x:c>
      <x:c r="I54" t="str">
        <x:v>Primary — CSAC supervisor report</x:v>
      </x:c>
      <x:c r="J54" t="str">
        <x:v>https://www.dca.ca.gov/csac/events/results/2019/20190621_goldenboy.pdf</x:v>
      </x:c>
    </x:row>
    <x:row r="55">
      <x:c r="A55" t="str">
        <x:v>California</x:v>
      </x:c>
      <x:c r="B55" t="str">
        <x:v>2019-06-21</x:v>
      </x:c>
      <x:c r="C55" t="str">
        <x:v>Golden Boy Promotions</x:v>
      </x:c>
      <x:c r="D55" t="str">
        <x:v>Elwin Soto</x:v>
      </x:c>
      <x:c r="E55" t="str">
        <x:v>Angel Acosta</x:v>
      </x:c>
      <x:c r="F55" t="n">
        <x:v>12</x:v>
      </x:c>
      <x:c r="G55" t="str">
        <x:v>13-1, 9 KO; WBO title challenger</x:v>
      </x:c>
      <x:c r="H55" s="22" t="n">
        <x:v>14000</x:v>
      </x:c>
      <x:c r="I55" t="str">
        <x:v>Primary — CSAC supervisor report</x:v>
      </x:c>
      <x:c r="J55" t="str">
        <x:v>https://www.dca.ca.gov/csac/events/results/2019/20190621_goldenboy.pdf</x:v>
      </x:c>
    </x:row>
    <x:row r="56">
      <x:c r="A56" t="str">
        <x:v>California</x:v>
      </x:c>
      <x:c r="B56" t="str">
        <x:v>2019-06-21</x:v>
      </x:c>
      <x:c r="C56" t="str">
        <x:v>Golden Boy Promotions</x:v>
      </x:c>
      <x:c r="D56" t="str">
        <x:v>Andrew Cancio</x:v>
      </x:c>
      <x:c r="E56" t="str">
        <x:v>Alberto Machado</x:v>
      </x:c>
      <x:c r="F56" t="n">
        <x:v>12</x:v>
      </x:c>
      <x:c r="G56" t="str">
        <x:v>20-4-2, 15 KO; WBA champion</x:v>
      </x:c>
      <x:c r="H56" s="22" t="n">
        <x:v>125000</x:v>
      </x:c>
      <x:c r="I56" t="str">
        <x:v>Primary — CSAC supervisor report</x:v>
      </x:c>
      <x:c r="J56" t="str">
        <x:v>https://www.dca.ca.gov/csac/events/results/2019/20190621_goldenboy.pdf</x:v>
      </x:c>
    </x:row>
    <x:row r="57">
      <x:c r="A57" t="str">
        <x:v>California</x:v>
      </x:c>
      <x:c r="B57" t="str">
        <x:v>2019-06-21</x:v>
      </x:c>
      <x:c r="C57" t="str">
        <x:v>Golden Boy Promotions</x:v>
      </x:c>
      <x:c r="D57" t="str">
        <x:v>Alberto Machado</x:v>
      </x:c>
      <x:c r="E57" t="str">
        <x:v>Andrew Cancio</x:v>
      </x:c>
      <x:c r="F57" t="n">
        <x:v>12</x:v>
      </x:c>
      <x:c r="G57" t="str">
        <x:v>21-1, 17 KO; WBA title</x:v>
      </x:c>
      <x:c r="H57" s="22" t="n">
        <x:v>100000</x:v>
      </x:c>
      <x:c r="I57" t="str">
        <x:v>Primary — CSAC supervisor report</x:v>
      </x:c>
      <x:c r="J57" t="str">
        <x:v>https://www.dca.ca.gov/csac/events/results/2019/20190621_goldenboy.pdf</x:v>
      </x:c>
    </x:row>
    <x:row r="58">
      <x:c r="A58" t="str">
        <x:v>California</x:v>
      </x:c>
      <x:c r="B58" t="str">
        <x:v>2019-03-30</x:v>
      </x:c>
      <x:c r="C58" t="str">
        <x:v>Golden Boy Promotions</x:v>
      </x:c>
      <x:c r="D58" t="str">
        <x:v>Antonio Orozco</x:v>
      </x:c>
      <x:c r="E58" t="str">
        <x:v>Jose Rodriguez</x:v>
      </x:c>
      <x:c r="F58"/>
      <x:c r="G58" t="str"/>
      <x:c r="H58" s="22" t="n">
        <x:v>20000</x:v>
      </x:c>
      <x:c r="I58" t="str">
        <x:v>Primary — CSAC supervisor report</x:v>
      </x:c>
      <x:c r="J58" t="str">
        <x:v>https://www.dca.ca.gov/csac/events/results/2019/20190330_goldenboy.pdf</x:v>
      </x:c>
    </x:row>
    <x:row r="59">
      <x:c r="A59" t="str">
        <x:v>California</x:v>
      </x:c>
      <x:c r="B59" t="str">
        <x:v>2019-03-30</x:v>
      </x:c>
      <x:c r="C59" t="str">
        <x:v>Golden Boy Promotions</x:v>
      </x:c>
      <x:c r="D59" t="str">
        <x:v>Jose Rodriguez</x:v>
      </x:c>
      <x:c r="E59" t="str">
        <x:v>Antonio Orozco</x:v>
      </x:c>
      <x:c r="F59"/>
      <x:c r="G59" t="str"/>
      <x:c r="H59" s="22" t="n">
        <x:v>10000</x:v>
      </x:c>
      <x:c r="I59" t="str">
        <x:v>Primary — CSAC supervisor report</x:v>
      </x:c>
      <x:c r="J59" t="str">
        <x:v>https://www.dca.ca.gov/csac/events/results/2019/20190330_goldenboy.pdf</x:v>
      </x:c>
    </x:row>
    <x:row r="60">
      <x:c r="A60" t="str">
        <x:v>California</x:v>
      </x:c>
      <x:c r="B60" t="str">
        <x:v>2019-03-30</x:v>
      </x:c>
      <x:c r="C60" t="str">
        <x:v>Golden Boy Promotions</x:v>
      </x:c>
      <x:c r="D60" t="str">
        <x:v>Joet Gonzalez</x:v>
      </x:c>
      <x:c r="E60" t="str">
        <x:v>Rodrigo Guerrero</x:v>
      </x:c>
      <x:c r="F60"/>
      <x:c r="G60" t="str"/>
      <x:c r="H60" s="22" t="n">
        <x:v>20000</x:v>
      </x:c>
      <x:c r="I60" t="str">
        <x:v>Primary — CSAC supervisor report</x:v>
      </x:c>
      <x:c r="J60" t="str">
        <x:v>https://www.dca.ca.gov/csac/events/results/2019/20190330_goldenboy.pdf</x:v>
      </x:c>
    </x:row>
    <x:row r="61">
      <x:c r="A61" t="str">
        <x:v>California</x:v>
      </x:c>
      <x:c r="B61" t="str">
        <x:v>2019-03-30</x:v>
      </x:c>
      <x:c r="C61" t="str">
        <x:v>Golden Boy Promotions</x:v>
      </x:c>
      <x:c r="D61" t="str">
        <x:v>Rodrigo Guerrero</x:v>
      </x:c>
      <x:c r="E61" t="str">
        <x:v>Joet Gonzalez</x:v>
      </x:c>
      <x:c r="F61"/>
      <x:c r="G61" t="str"/>
      <x:c r="H61" s="22" t="n">
        <x:v>10000</x:v>
      </x:c>
      <x:c r="I61" t="str">
        <x:v>Primary — CSAC supervisor report</x:v>
      </x:c>
      <x:c r="J61" t="str">
        <x:v>https://www.dca.ca.gov/csac/events/results/2019/20190330_goldenboy.pdf</x:v>
      </x:c>
    </x:row>
    <x:row r="62">
      <x:c r="A62" t="str">
        <x:v>California</x:v>
      </x:c>
      <x:c r="B62" t="str">
        <x:v>2019-03-30</x:v>
      </x:c>
      <x:c r="C62" t="str">
        <x:v>Golden Boy Promotions</x:v>
      </x:c>
      <x:c r="D62" t="str">
        <x:v>Danielito Zorrilla</x:v>
      </x:c>
      <x:c r="E62" t="str">
        <x:v>Gamaliel Diaz</x:v>
      </x:c>
      <x:c r="F62"/>
      <x:c r="G62" t="str"/>
      <x:c r="H62" s="22" t="n">
        <x:v>6000</x:v>
      </x:c>
      <x:c r="I62" t="str">
        <x:v>Primary — CSAC supervisor report</x:v>
      </x:c>
      <x:c r="J62" t="str">
        <x:v>https://www.dca.ca.gov/csac/events/results/2019/20190330_goldenboy.pdf</x:v>
      </x:c>
    </x:row>
    <x:row r="63">
      <x:c r="A63" t="str">
        <x:v>California</x:v>
      </x:c>
      <x:c r="B63" t="str">
        <x:v>2019-03-30</x:v>
      </x:c>
      <x:c r="C63" t="str">
        <x:v>Golden Boy Promotions</x:v>
      </x:c>
      <x:c r="D63" t="str">
        <x:v>Gamaliel Diaz</x:v>
      </x:c>
      <x:c r="E63" t="str">
        <x:v>Danielito Zorrilla</x:v>
      </x:c>
      <x:c r="F63"/>
      <x:c r="G63" t="str"/>
      <x:c r="H63" s="22" t="n">
        <x:v>7000</x:v>
      </x:c>
      <x:c r="I63" t="str">
        <x:v>Primary — CSAC supervisor report</x:v>
      </x:c>
      <x:c r="J63" t="str">
        <x:v>https://www.dca.ca.gov/csac/events/results/2019/20190330_goldenboy.pdf</x:v>
      </x:c>
    </x:row>
    <x:row r="64">
      <x:c r="A64" t="str">
        <x:v>California</x:v>
      </x:c>
      <x:c r="B64" t="str">
        <x:v>2019-03-30</x:v>
      </x:c>
      <x:c r="C64" t="str">
        <x:v>Golden Boy Promotions</x:v>
      </x:c>
      <x:c r="D64" t="str">
        <x:v>Aaron McKenna</x:v>
      </x:c>
      <x:c r="E64" t="str">
        <x:v>Loretto Olivas</x:v>
      </x:c>
      <x:c r="F64"/>
      <x:c r="G64" t="str"/>
      <x:c r="H64" s="22" t="n">
        <x:v>3500</x:v>
      </x:c>
      <x:c r="I64" t="str">
        <x:v>Primary — CSAC supervisor report</x:v>
      </x:c>
      <x:c r="J64" t="str">
        <x:v>https://www.dca.ca.gov/csac/events/results/2019/20190330_goldenboy.pdf</x:v>
      </x:c>
    </x:row>
    <x:row r="65">
      <x:c r="A65" t="str">
        <x:v>California</x:v>
      </x:c>
      <x:c r="B65" t="str">
        <x:v>2019-03-30</x:v>
      </x:c>
      <x:c r="C65" t="str">
        <x:v>Golden Boy Promotions</x:v>
      </x:c>
      <x:c r="D65" t="str">
        <x:v>Loretto Olivas</x:v>
      </x:c>
      <x:c r="E65" t="str">
        <x:v>Aaron McKenna</x:v>
      </x:c>
      <x:c r="F65"/>
      <x:c r="G65" t="str"/>
      <x:c r="H65" s="22" t="n">
        <x:v>1500</x:v>
      </x:c>
      <x:c r="I65" t="str">
        <x:v>Primary — CSAC supervisor report</x:v>
      </x:c>
      <x:c r="J65" t="str">
        <x:v>https://www.dca.ca.gov/csac/events/results/2019/20190330_goldenboy.pdf</x:v>
      </x:c>
    </x:row>
    <x:row r="66">
      <x:c r="A66" t="str">
        <x:v>California</x:v>
      </x:c>
      <x:c r="B66" t="str">
        <x:v>2019-03-30</x:v>
      </x:c>
      <x:c r="C66" t="str">
        <x:v>Golden Boy Promotions</x:v>
      </x:c>
      <x:c r="D66" t="str">
        <x:v>Rocky Hernandez</x:v>
      </x:c>
      <x:c r="E66" t="str">
        <x:v>Ibrahim Class</x:v>
      </x:c>
      <x:c r="F66"/>
      <x:c r="G66" t="str"/>
      <x:c r="H66" s="22" t="n">
        <x:v>20000</x:v>
      </x:c>
      <x:c r="I66" t="str">
        <x:v>Primary — CSAC supervisor report</x:v>
      </x:c>
      <x:c r="J66" t="str">
        <x:v>https://www.dca.ca.gov/csac/events/results/2019/20190330_goldenboy.pdf</x:v>
      </x:c>
    </x:row>
    <x:row r="67">
      <x:c r="A67" t="str">
        <x:v>California</x:v>
      </x:c>
      <x:c r="B67" t="str">
        <x:v>2019-03-30</x:v>
      </x:c>
      <x:c r="C67" t="str">
        <x:v>Golden Boy Promotions</x:v>
      </x:c>
      <x:c r="D67" t="str">
        <x:v>Ibrahim Class</x:v>
      </x:c>
      <x:c r="E67" t="str">
        <x:v>Rocky Hernandez</x:v>
      </x:c>
      <x:c r="F67"/>
      <x:c r="G67" t="str"/>
      <x:c r="H67" s="22" t="n">
        <x:v>20000</x:v>
      </x:c>
      <x:c r="I67" t="str">
        <x:v>Primary — CSAC supervisor report</x:v>
      </x:c>
      <x:c r="J67" t="str">
        <x:v>https://www.dca.ca.gov/csac/events/results/2019/20190330_goldenboy.pdf</x:v>
      </x:c>
    </x:row>
    <x:row r="68">
      <x:c r="A68" t="str">
        <x:v>California</x:v>
      </x:c>
      <x:c r="B68" t="str">
        <x:v>2019-03-30</x:v>
      </x:c>
      <x:c r="C68" t="str">
        <x:v>Golden Boy Promotions</x:v>
      </x:c>
      <x:c r="D68" t="str">
        <x:v>Angel Acosta</x:v>
      </x:c>
      <x:c r="E68" t="str">
        <x:v>Ganigan Lopez</x:v>
      </x:c>
      <x:c r="F68"/>
      <x:c r="G68" t="str">
        <x:v>World-title level</x:v>
      </x:c>
      <x:c r="H68" s="22" t="n">
        <x:v>50000</x:v>
      </x:c>
      <x:c r="I68" t="str">
        <x:v>Primary — CSAC supervisor report</x:v>
      </x:c>
      <x:c r="J68" t="str">
        <x:v>https://www.dca.ca.gov/csac/events/results/2019/20190330_goldenboy.pdf</x:v>
      </x:c>
    </x:row>
    <x:row r="69">
      <x:c r="A69" t="str">
        <x:v>California</x:v>
      </x:c>
      <x:c r="B69" t="str">
        <x:v>2019-03-30</x:v>
      </x:c>
      <x:c r="C69" t="str">
        <x:v>Golden Boy Promotions</x:v>
      </x:c>
      <x:c r="D69" t="str">
        <x:v>Ganigan Lopez</x:v>
      </x:c>
      <x:c r="E69" t="str">
        <x:v>Angel Acosta</x:v>
      </x:c>
      <x:c r="F69"/>
      <x:c r="G69" t="str"/>
      <x:c r="H69" s="22" t="n">
        <x:v>5000</x:v>
      </x:c>
      <x:c r="I69" t="str">
        <x:v>Primary — CSAC supervisor report</x:v>
      </x:c>
      <x:c r="J69" t="str">
        <x:v>https://www.dca.ca.gov/csac/events/results/2019/20190330_goldenboy.pdf</x:v>
      </x:c>
    </x:row>
    <x:row r="70">
      <x:c r="A70" t="str">
        <x:v>California</x:v>
      </x:c>
      <x:c r="B70" t="str">
        <x:v>2019-03-30</x:v>
      </x:c>
      <x:c r="C70" t="str">
        <x:v>Golden Boy Promotions</x:v>
      </x:c>
      <x:c r="D70" t="str">
        <x:v>Ryan Garcia</x:v>
      </x:c>
      <x:c r="E70" t="str">
        <x:v>Jose Lopez</x:v>
      </x:c>
      <x:c r="F70"/>
      <x:c r="G70" t="str">
        <x:v>Rising contender</x:v>
      </x:c>
      <x:c r="H70" s="22" t="n">
        <x:v>50000</x:v>
      </x:c>
      <x:c r="I70" t="str">
        <x:v>Primary — CSAC supervisor report</x:v>
      </x:c>
      <x:c r="J70" t="str">
        <x:v>https://www.dca.ca.gov/csac/events/results/2019/20190330_goldenboy.pdf</x:v>
      </x:c>
    </x:row>
    <x:row r="71">
      <x:c r="A71" t="str">
        <x:v>California</x:v>
      </x:c>
      <x:c r="B71" t="str">
        <x:v>2019-03-30</x:v>
      </x:c>
      <x:c r="C71" t="str">
        <x:v>Golden Boy Promotions</x:v>
      </x:c>
      <x:c r="D71" t="str">
        <x:v>Jose Lopez</x:v>
      </x:c>
      <x:c r="E71" t="str">
        <x:v>Ryan Garcia</x:v>
      </x:c>
      <x:c r="F71"/>
      <x:c r="G71" t="str"/>
      <x:c r="H71" s="22" t="n">
        <x:v>25000</x:v>
      </x:c>
      <x:c r="I71" t="str">
        <x:v>Primary — CSAC supervisor report</x:v>
      </x:c>
      <x:c r="J71" t="str">
        <x:v>https://www.dca.ca.gov/csac/events/results/2019/20190330_goldenboy.pdf</x:v>
      </x:c>
    </x:row>
    <x:row r="72">
      <x:c r="A72" t="str">
        <x:v>California</x:v>
      </x:c>
      <x:c r="B72" t="str">
        <x:v>2019-03-30</x:v>
      </x:c>
      <x:c r="C72" t="str">
        <x:v>Golden Boy Promotions</x:v>
      </x:c>
      <x:c r="D72" t="str">
        <x:v>Neeco Macias</x:v>
      </x:c>
      <x:c r="E72" t="str">
        <x:v>Jeremy Ramos</x:v>
      </x:c>
      <x:c r="F72"/>
      <x:c r="G72" t="str"/>
      <x:c r="H72" s="22" t="n">
        <x:v>10000</x:v>
      </x:c>
      <x:c r="I72" t="str">
        <x:v>Primary — CSAC supervisor report</x:v>
      </x:c>
      <x:c r="J72" t="str">
        <x:v>https://www.dca.ca.gov/csac/events/results/2019/20190330_goldenboy.pdf</x:v>
      </x:c>
    </x:row>
    <x:row r="73">
      <x:c r="A73" t="str">
        <x:v>California</x:v>
      </x:c>
      <x:c r="B73" t="str">
        <x:v>2019-03-30</x:v>
      </x:c>
      <x:c r="C73" t="str">
        <x:v>Golden Boy Promotions</x:v>
      </x:c>
      <x:c r="D73" t="str">
        <x:v>Jeremy Ramos</x:v>
      </x:c>
      <x:c r="E73" t="str">
        <x:v>Neeco Macias</x:v>
      </x:c>
      <x:c r="F73"/>
      <x:c r="G73" t="str"/>
      <x:c r="H73" s="22" t="n">
        <x:v>7000</x:v>
      </x:c>
      <x:c r="I73" t="str">
        <x:v>Primary — CSAC supervisor report</x:v>
      </x:c>
      <x:c r="J73" t="str">
        <x:v>https://www.dca.ca.gov/csac/events/results/2019/20190330_goldenboy.pdf</x:v>
      </x:c>
    </x:row>
    <x:row r="74">
      <x:c r="A74" t="str">
        <x:v>California</x:v>
      </x:c>
      <x:c r="B74" t="str">
        <x:v>2019-03-30</x:v>
      </x:c>
      <x:c r="C74" t="str">
        <x:v>Golden Boy Promotions</x:v>
      </x:c>
      <x:c r="D74" t="str">
        <x:v>Herberto Acevedo Jr</x:v>
      </x:c>
      <x:c r="E74" t="str">
        <x:v>Alfonso Olvera</x:v>
      </x:c>
      <x:c r="F74"/>
      <x:c r="G74" t="str"/>
      <x:c r="H74" s="22" t="n">
        <x:v>5000</x:v>
      </x:c>
      <x:c r="I74" t="str">
        <x:v>Primary — CSAC supervisor report</x:v>
      </x:c>
      <x:c r="J74" t="str">
        <x:v>https://www.dca.ca.gov/csac/events/results/2019/20190330_goldenboy.pdf</x:v>
      </x:c>
    </x:row>
    <x:row r="75">
      <x:c r="A75" t="str">
        <x:v>California</x:v>
      </x:c>
      <x:c r="B75" t="str">
        <x:v>2019-03-30</x:v>
      </x:c>
      <x:c r="C75" t="str">
        <x:v>Golden Boy Promotions</x:v>
      </x:c>
      <x:c r="D75" t="str">
        <x:v>Alfonso Olvera</x:v>
      </x:c>
      <x:c r="E75" t="str">
        <x:v>Herberto Acevedo Jr</x:v>
      </x:c>
      <x:c r="F75"/>
      <x:c r="G75" t="str"/>
      <x:c r="H75" s="22" t="n">
        <x:v>6000</x:v>
      </x:c>
      <x:c r="I75" t="str">
        <x:v>Primary — CSAC supervisor report</x:v>
      </x:c>
      <x:c r="J75" t="str">
        <x:v>https://www.dca.ca.gov/csac/events/results/2019/20190330_goldenboy.pdf</x:v>
      </x:c>
    </x:row>
    <x:row r="76">
      <x:c r="A76" t="str">
        <x:v>Nevada</x:v>
      </x:c>
      <x:c r="B76" t="str">
        <x:v>2017-08-26</x:v>
      </x:c>
      <x:c r="C76" t="str">
        <x:v>Mayweather–McGregor</x:v>
      </x:c>
      <x:c r="D76" t="str">
        <x:v>Floyd Mayweather</x:v>
      </x:c>
      <x:c r="E76" t="str">
        <x:v>Conor McGregor</x:v>
      </x:c>
      <x:c r="F76" t="n">
        <x:v>12</x:v>
      </x:c>
      <x:c r="G76" t="str">
        <x:v>PPV / elite</x:v>
      </x:c>
      <x:c r="H76" s="22" t="n">
        <x:v>100000000</x:v>
      </x:c>
      <x:c r="I76" t="str">
        <x:v>Secondary publication reproducing NSAC contract figures</x:v>
      </x:c>
      <x:c r="J76" t="str">
        <x:v>https://www.espn.com/boxing/story/_/id/20461204/floyd-mayweather-guaranteed-100-million-purse-conor-mcgregor-get-30-million</x:v>
      </x:c>
    </x:row>
    <x:row r="77">
      <x:c r="A77" t="str">
        <x:v>Nevada</x:v>
      </x:c>
      <x:c r="B77" t="str">
        <x:v>2017-08-26</x:v>
      </x:c>
      <x:c r="C77" t="str">
        <x:v>Mayweather–McGregor</x:v>
      </x:c>
      <x:c r="D77" t="str">
        <x:v>Conor McGregor</x:v>
      </x:c>
      <x:c r="E77" t="str">
        <x:v>Floyd Mayweather</x:v>
      </x:c>
      <x:c r="F77" t="n">
        <x:v>12</x:v>
      </x:c>
      <x:c r="G77" t="str">
        <x:v>PPV / boxing debut</x:v>
      </x:c>
      <x:c r="H77" s="22" t="n">
        <x:v>30000000</x:v>
      </x:c>
      <x:c r="I77" t="str">
        <x:v>Secondary publication reproducing NSAC contract figures</x:v>
      </x:c>
      <x:c r="J77" t="str">
        <x:v>https://www.espn.com/boxing/story/_/id/20461204/floyd-mayweather-guaranteed-100-million-purse-conor-mcgregor-get-30-million</x:v>
      </x:c>
    </x:row>
    <x:row r="78">
      <x:c r="A78" t="str">
        <x:v>Nevada</x:v>
      </x:c>
      <x:c r="B78" t="str">
        <x:v>2017-09-16</x:v>
      </x:c>
      <x:c r="C78" t="str">
        <x:v>Canelo–Golovkin I</x:v>
      </x:c>
      <x:c r="D78" t="str">
        <x:v>Canelo Alvarez</x:v>
      </x:c>
      <x:c r="E78" t="str">
        <x:v>Gennady Golovkin</x:v>
      </x:c>
      <x:c r="F78" t="n">
        <x:v>12</x:v>
      </x:c>
      <x:c r="G78" t="str">
        <x:v>PPV / world title</x:v>
      </x:c>
      <x:c r="H78" s="22" t="n">
        <x:v>5000000</x:v>
      </x:c>
      <x:c r="I78" t="str">
        <x:v>Secondary publication reproducing NSAC-released purses</x:v>
      </x:c>
      <x:c r="J78" t="str">
        <x:v>https://www.espn.com/boxing/story/_/id/20717394/canelo-alvarez-gennady-golovkin-make-weight-ready-saturday-showdown</x:v>
      </x:c>
    </x:row>
    <x:row r="79">
      <x:c r="A79" t="str">
        <x:v>Nevada</x:v>
      </x:c>
      <x:c r="B79" t="str">
        <x:v>2017-09-16</x:v>
      </x:c>
      <x:c r="C79" t="str">
        <x:v>Canelo–Golovkin I</x:v>
      </x:c>
      <x:c r="D79" t="str">
        <x:v>Gennady Golovkin</x:v>
      </x:c>
      <x:c r="E79" t="str">
        <x:v>Canelo Alvarez</x:v>
      </x:c>
      <x:c r="F79" t="n">
        <x:v>12</x:v>
      </x:c>
      <x:c r="G79" t="str">
        <x:v>PPV / world title</x:v>
      </x:c>
      <x:c r="H79" s="22" t="n">
        <x:v>3000000</x:v>
      </x:c>
      <x:c r="I79" t="str">
        <x:v>Secondary publication reproducing NSAC-released purses</x:v>
      </x:c>
      <x:c r="J79" t="str">
        <x:v>https://www.espn.com/boxing/story/_/id/20717394/canelo-alvarez-gennady-golovkin-make-weight-ready-saturday-showdown</x:v>
      </x:c>
    </x:row>
    <x:row r="80">
      <x:c r="A80" t="str">
        <x:v>Nevada</x:v>
      </x:c>
      <x:c r="B80" t="str">
        <x:v>2017-09-16</x:v>
      </x:c>
      <x:c r="C80" t="str">
        <x:v>Canelo–Golovkin I</x:v>
      </x:c>
      <x:c r="D80" t="str">
        <x:v>Joseph Diaz</x:v>
      </x:c>
      <x:c r="E80" t="str">
        <x:v>Rafael Rivera</x:v>
      </x:c>
      <x:c r="F80" t="n">
        <x:v>12</x:v>
      </x:c>
      <x:c r="G80" t="str">
        <x:v>World title eliminator</x:v>
      </x:c>
      <x:c r="H80" s="22" t="n">
        <x:v>200000</x:v>
      </x:c>
      <x:c r="I80" t="str">
        <x:v>Secondary publication reproducing NSAC-released purses</x:v>
      </x:c>
      <x:c r="J80" t="str">
        <x:v>https://www.espn.com/boxing/story/_/id/20717394/canelo-alvarez-gennady-golovkin-make-weight-ready-saturday-showdown</x:v>
      </x:c>
    </x:row>
    <x:row r="81">
      <x:c r="A81" t="str">
        <x:v>Nevada</x:v>
      </x:c>
      <x:c r="B81" t="str">
        <x:v>2017-09-16</x:v>
      </x:c>
      <x:c r="C81" t="str">
        <x:v>Canelo–Golovkin I</x:v>
      </x:c>
      <x:c r="D81" t="str">
        <x:v>Rafael Rivera</x:v>
      </x:c>
      <x:c r="E81" t="str">
        <x:v>Joseph Diaz</x:v>
      </x:c>
      <x:c r="F81" t="n">
        <x:v>12</x:v>
      </x:c>
      <x:c r="G81" t="str">
        <x:v>World title eliminator</x:v>
      </x:c>
      <x:c r="H81" s="22" t="n">
        <x:v>15000</x:v>
      </x:c>
      <x:c r="I81" t="str">
        <x:v>Secondary publication reproducing NSAC-released purses</x:v>
      </x:c>
      <x:c r="J81" t="str">
        <x:v>https://www.espn.com/boxing/story/_/id/20717394/canelo-alvarez-gennady-golovkin-make-weight-ready-saturday-showdown</x:v>
      </x:c>
    </x:row>
    <x:row r="82">
      <x:c r="A82" t="str">
        <x:v>Nevada</x:v>
      </x:c>
      <x:c r="B82" t="str">
        <x:v>2017-09-16</x:v>
      </x:c>
      <x:c r="C82" t="str">
        <x:v>Canelo–Golovkin I</x:v>
      </x:c>
      <x:c r="D82" t="str">
        <x:v>Diego De La Hoya</x:v>
      </x:c>
      <x:c r="E82" t="str">
        <x:v>Randy Caballero</x:v>
      </x:c>
      <x:c r="F82" t="n">
        <x:v>10</x:v>
      </x:c>
      <x:c r="G82" t="str">
        <x:v>Top undercard</x:v>
      </x:c>
      <x:c r="H82" s="22" t="n">
        <x:v>80000</x:v>
      </x:c>
      <x:c r="I82" t="str">
        <x:v>Secondary publication reproducing NSAC-released purses</x:v>
      </x:c>
      <x:c r="J82" t="str">
        <x:v>https://www.espn.com/boxing/story/_/id/20717394/canelo-alvarez-gennady-golovkin-make-weight-ready-saturday-showdown</x:v>
      </x:c>
    </x:row>
    <x:row r="83">
      <x:c r="A83" t="str">
        <x:v>Nevada</x:v>
      </x:c>
      <x:c r="B83" t="str">
        <x:v>2017-09-16</x:v>
      </x:c>
      <x:c r="C83" t="str">
        <x:v>Canelo–Golovkin I</x:v>
      </x:c>
      <x:c r="D83" t="str">
        <x:v>Randy Caballero</x:v>
      </x:c>
      <x:c r="E83" t="str">
        <x:v>Diego De La Hoya</x:v>
      </x:c>
      <x:c r="F83" t="n">
        <x:v>10</x:v>
      </x:c>
      <x:c r="G83" t="str">
        <x:v>Former champion</x:v>
      </x:c>
      <x:c r="H83" s="22" t="n">
        <x:v>50000</x:v>
      </x:c>
      <x:c r="I83" t="str">
        <x:v>Secondary publication reproducing NSAC-released purses</x:v>
      </x:c>
      <x:c r="J83" t="str">
        <x:v>https://www.espn.com/boxing/story/_/id/20717394/canelo-alvarez-gennady-golovkin-make-weight-ready-saturday-showdown</x:v>
      </x:c>
    </x:row>
    <x:row r="84">
      <x:c r="A84" t="str">
        <x:v>Nevada</x:v>
      </x:c>
      <x:c r="B84" t="str">
        <x:v>2017-09-16</x:v>
      </x:c>
      <x:c r="C84" t="str">
        <x:v>Canelo–Golovkin I</x:v>
      </x:c>
      <x:c r="D84" t="str">
        <x:v>Ryan Martin</x:v>
      </x:c>
      <x:c r="E84" t="str">
        <x:v>Francisco Rojo</x:v>
      </x:c>
      <x:c r="F84" t="n">
        <x:v>10</x:v>
      </x:c>
      <x:c r="G84" t="str">
        <x:v>PPV undercard</x:v>
      </x:c>
      <x:c r="H84" s="22" t="n">
        <x:v>50000</x:v>
      </x:c>
      <x:c r="I84" t="str">
        <x:v>Secondary publication reproducing NSAC-released purses</x:v>
      </x:c>
      <x:c r="J84" t="str">
        <x:v>https://www.espn.com/boxing/story/_/id/20717394/canelo-alvarez-gennady-golovkin-make-weight-ready-saturday-showdown</x:v>
      </x:c>
    </x:row>
    <x:row r="85">
      <x:c r="A85" t="str">
        <x:v>Nevada</x:v>
      </x:c>
      <x:c r="B85" t="str">
        <x:v>2017-09-16</x:v>
      </x:c>
      <x:c r="C85" t="str">
        <x:v>Canelo–Golovkin I</x:v>
      </x:c>
      <x:c r="D85" t="str">
        <x:v>Francisco Rojo</x:v>
      </x:c>
      <x:c r="E85" t="str">
        <x:v>Ryan Martin</x:v>
      </x:c>
      <x:c r="F85" t="n">
        <x:v>10</x:v>
      </x:c>
      <x:c r="G85" t="str">
        <x:v>PPV undercard</x:v>
      </x:c>
      <x:c r="H85" s="22" t="n">
        <x:v>25000</x:v>
      </x:c>
      <x:c r="I85" t="str">
        <x:v>Secondary publication reproducing NSAC-released purses</x:v>
      </x:c>
      <x:c r="J85" t="str">
        <x:v>https://www.espn.com/boxing/story/_/id/20717394/canelo-alvarez-gennady-golovkin-make-weight-ready-saturday-showdown</x:v>
      </x:c>
    </x:row>
    <x:row r="86">
      <x:c r="A86" t="str">
        <x:v>Nevada</x:v>
      </x:c>
      <x:c r="B86" t="str">
        <x:v>2019-01-19</x:v>
      </x:c>
      <x:c r="C86" t="str">
        <x:v>Pacquiao–Broner</x:v>
      </x:c>
      <x:c r="D86" t="str">
        <x:v>Manny Pacquiao</x:v>
      </x:c>
      <x:c r="E86" t="str">
        <x:v>Adrien Broner</x:v>
      </x:c>
      <x:c r="F86" t="n">
        <x:v>12</x:v>
      </x:c>
      <x:c r="G86" t="str">
        <x:v>PPV / WBA title</x:v>
      </x:c>
      <x:c r="H86" s="22" t="n">
        <x:v>10000000</x:v>
      </x:c>
      <x:c r="I86" t="str">
        <x:v>Secondary publication reproducing NSAC-released purses</x:v>
      </x:c>
      <x:c r="J86" t="str">
        <x:v>https://www.espn.com/boxing/story/_/id/25797214/manny-pacquiao-adrien-broner-weigh-welterweight-bout</x:v>
      </x:c>
    </x:row>
    <x:row r="87">
      <x:c r="A87" t="str">
        <x:v>Nevada</x:v>
      </x:c>
      <x:c r="B87" t="str">
        <x:v>2019-01-19</x:v>
      </x:c>
      <x:c r="C87" t="str">
        <x:v>Pacquiao–Broner</x:v>
      </x:c>
      <x:c r="D87" t="str">
        <x:v>Adrien Broner</x:v>
      </x:c>
      <x:c r="E87" t="str">
        <x:v>Manny Pacquiao</x:v>
      </x:c>
      <x:c r="F87" t="n">
        <x:v>12</x:v>
      </x:c>
      <x:c r="G87" t="str">
        <x:v>PPV / WBA title</x:v>
      </x:c>
      <x:c r="H87" s="22" t="n">
        <x:v>2500000</x:v>
      </x:c>
      <x:c r="I87" t="str">
        <x:v>Secondary publication reproducing NSAC-released purses</x:v>
      </x:c>
      <x:c r="J87" t="str">
        <x:v>https://www.espn.com/boxing/story/_/id/25797214/manny-pacquiao-adrien-broner-weigh-welterweight-bout</x:v>
      </x:c>
    </x:row>
    <x:row r="88">
      <x:c r="A88" t="str">
        <x:v>Nevada</x:v>
      </x:c>
      <x:c r="B88" t="str">
        <x:v>2019-01-19</x:v>
      </x:c>
      <x:c r="C88" t="str">
        <x:v>Pacquiao–Broner</x:v>
      </x:c>
      <x:c r="D88" t="str">
        <x:v>Badou Jack</x:v>
      </x:c>
      <x:c r="E88" t="str">
        <x:v>Marcus Browne</x:v>
      </x:c>
      <x:c r="F88" t="n">
        <x:v>12</x:v>
      </x:c>
      <x:c r="G88" t="str">
        <x:v>Interim title / eliminator</x:v>
      </x:c>
      <x:c r="H88" s="22" t="n">
        <x:v>500000</x:v>
      </x:c>
      <x:c r="I88" t="str">
        <x:v>Secondary publication reproducing NSAC-released purses</x:v>
      </x:c>
      <x:c r="J88" t="str">
        <x:v>https://www.espn.com/boxing/story/_/id/25797214/manny-pacquiao-adrien-broner-weigh-welterweight-bout</x:v>
      </x:c>
    </x:row>
    <x:row r="89">
      <x:c r="A89" t="str">
        <x:v>Nevada</x:v>
      </x:c>
      <x:c r="B89" t="str">
        <x:v>2019-01-19</x:v>
      </x:c>
      <x:c r="C89" t="str">
        <x:v>Pacquiao–Broner</x:v>
      </x:c>
      <x:c r="D89" t="str">
        <x:v>Marcus Browne</x:v>
      </x:c>
      <x:c r="E89" t="str">
        <x:v>Badou Jack</x:v>
      </x:c>
      <x:c r="F89" t="n">
        <x:v>12</x:v>
      </x:c>
      <x:c r="G89" t="str">
        <x:v>Interim title / eliminator</x:v>
      </x:c>
      <x:c r="H89" s="22" t="n">
        <x:v>250000</x:v>
      </x:c>
      <x:c r="I89" t="str">
        <x:v>Secondary publication reproducing NSAC-released purses</x:v>
      </x:c>
      <x:c r="J89" t="str">
        <x:v>https://www.espn.com/boxing/story/_/id/25797214/manny-pacquiao-adrien-broner-weigh-welterweight-bout</x:v>
      </x:c>
    </x:row>
    <x:row r="90">
      <x:c r="A90" t="str">
        <x:v>Nevada</x:v>
      </x:c>
      <x:c r="B90" t="str">
        <x:v>2019-01-19</x:v>
      </x:c>
      <x:c r="C90" t="str">
        <x:v>Pacquiao–Broner</x:v>
      </x:c>
      <x:c r="D90" t="str">
        <x:v>Rau'shee Warren</x:v>
      </x:c>
      <x:c r="E90" t="str">
        <x:v>Nordine Oubaali</x:v>
      </x:c>
      <x:c r="F90" t="n">
        <x:v>12</x:v>
      </x:c>
      <x:c r="G90" t="str">
        <x:v>WBC title</x:v>
      </x:c>
      <x:c r="H90" s="22" t="n">
        <x:v>125000</x:v>
      </x:c>
      <x:c r="I90" t="str">
        <x:v>Secondary publication reproducing NSAC-released purses</x:v>
      </x:c>
      <x:c r="J90" t="str">
        <x:v>https://www.espn.com/boxing/story/_/id/25797214/manny-pacquiao-adrien-broner-weigh-welterweight-bout</x:v>
      </x:c>
    </x:row>
    <x:row r="91">
      <x:c r="A91" t="str">
        <x:v>Nevada</x:v>
      </x:c>
      <x:c r="B91" t="str">
        <x:v>2019-01-19</x:v>
      </x:c>
      <x:c r="C91" t="str">
        <x:v>Pacquiao–Broner</x:v>
      </x:c>
      <x:c r="D91" t="str">
        <x:v>Nordine Oubaali</x:v>
      </x:c>
      <x:c r="E91" t="str">
        <x:v>Rau'shee Warren</x:v>
      </x:c>
      <x:c r="F91" t="n">
        <x:v>12</x:v>
      </x:c>
      <x:c r="G91" t="str">
        <x:v>WBC title</x:v>
      </x:c>
      <x:c r="H91" s="22" t="n">
        <x:v>85000</x:v>
      </x:c>
      <x:c r="I91" t="str">
        <x:v>Secondary publication reproducing NSAC-released purses</x:v>
      </x:c>
      <x:c r="J91" t="str">
        <x:v>https://www.espn.com/boxing/story/_/id/25797214/manny-pacquiao-adrien-broner-weigh-welterweight-bout</x:v>
      </x:c>
    </x:row>
    <x:row r="92">
      <x:c r="A92" t="str">
        <x:v>Nevada</x:v>
      </x:c>
      <x:c r="B92" t="str">
        <x:v>2019-01-19</x:v>
      </x:c>
      <x:c r="C92" t="str">
        <x:v>Pacquiao–Broner</x:v>
      </x:c>
      <x:c r="D92" t="str">
        <x:v>Hugo Ruiz</x:v>
      </x:c>
      <x:c r="E92" t="str">
        <x:v>Alberto Guevara</x:v>
      </x:c>
      <x:c r="F92" t="n">
        <x:v>10</x:v>
      </x:c>
      <x:c r="G92" t="str">
        <x:v>PPV undercard</x:v>
      </x:c>
      <x:c r="H92" s="22" t="n">
        <x:v>30000</x:v>
      </x:c>
      <x:c r="I92" t="str">
        <x:v>Secondary publication reproducing NSAC-released purses</x:v>
      </x:c>
      <x:c r="J92" t="str">
        <x:v>https://www.espn.com/boxing/story/_/id/25797214/manny-pacquiao-adrien-broner-weigh-welterweight-bout</x:v>
      </x:c>
    </x:row>
    <x:row r="93">
      <x:c r="A93" t="str">
        <x:v>Nevada</x:v>
      </x:c>
      <x:c r="B93" t="str">
        <x:v>2019-01-19</x:v>
      </x:c>
      <x:c r="C93" t="str">
        <x:v>Pacquiao–Broner</x:v>
      </x:c>
      <x:c r="D93" t="str">
        <x:v>Alberto Guevara</x:v>
      </x:c>
      <x:c r="E93" t="str">
        <x:v>Hugo Ruiz</x:v>
      </x:c>
      <x:c r="F93" t="n">
        <x:v>10</x:v>
      </x:c>
      <x:c r="G93" t="str">
        <x:v>PPV undercard</x:v>
      </x:c>
      <x:c r="H93" s="22" t="n">
        <x:v>8000</x:v>
      </x:c>
      <x:c r="I93" t="str">
        <x:v>Secondary publication reproducing NSAC-released purses</x:v>
      </x:c>
      <x:c r="J93" t="str">
        <x:v>https://www.espn.com/boxing/story/_/id/25797214/manny-pacquiao-adrien-broner-weigh-welterweight-bout</x:v>
      </x:c>
    </x:row>
    <x:row r="94">
      <x:c r="A94" t="str">
        <x:v>Nevada</x:v>
      </x:c>
      <x:c r="B94" t="str">
        <x:v>2019-07-20</x:v>
      </x:c>
      <x:c r="C94" t="str">
        <x:v>Pacquiao–Thurman</x:v>
      </x:c>
      <x:c r="D94" t="str">
        <x:v>Manny Pacquiao</x:v>
      </x:c>
      <x:c r="E94" t="str">
        <x:v>Keith Thurman</x:v>
      </x:c>
      <x:c r="F94" t="n">
        <x:v>12</x:v>
      </x:c>
      <x:c r="G94" t="str">
        <x:v>PPV / world title</x:v>
      </x:c>
      <x:c r="H94" s="22" t="n">
        <x:v>10000000</x:v>
      </x:c>
      <x:c r="I94" t="str">
        <x:v>Secondary publication reproducing NSAC-released contract purses</x:v>
      </x:c>
      <x:c r="J94" t="str">
        <x:v>https://www.espn.com/boxing/story/_/id/27224729/pacquiao-thurman-make-weight-saturday</x:v>
      </x:c>
    </x:row>
    <x:row r="95">
      <x:c r="A95" t="str">
        <x:v>Nevada</x:v>
      </x:c>
      <x:c r="B95" t="str">
        <x:v>2019-07-20</x:v>
      </x:c>
      <x:c r="C95" t="str">
        <x:v>Pacquiao–Thurman</x:v>
      </x:c>
      <x:c r="D95" t="str">
        <x:v>Keith Thurman</x:v>
      </x:c>
      <x:c r="E95" t="str">
        <x:v>Manny Pacquiao</x:v>
      </x:c>
      <x:c r="F95" t="n">
        <x:v>12</x:v>
      </x:c>
      <x:c r="G95" t="str">
        <x:v>PPV / world title</x:v>
      </x:c>
      <x:c r="H95" s="22" t="n">
        <x:v>2500000</x:v>
      </x:c>
      <x:c r="I95" t="str">
        <x:v>Secondary publication reproducing NSAC-released contract purses</x:v>
      </x:c>
      <x:c r="J95" t="str">
        <x:v>https://www.espn.com/boxing/story/_/id/27224729/pacquiao-thurman-make-weight-saturday</x:v>
      </x:c>
    </x:row>
    <x:row r="96">
      <x:c r="A96" t="str">
        <x:v>Nevada</x:v>
      </x:c>
      <x:c r="B96" t="str">
        <x:v>2019-07-20</x:v>
      </x:c>
      <x:c r="C96" t="str">
        <x:v>Pacquiao–Thurman</x:v>
      </x:c>
      <x:c r="D96" t="str">
        <x:v>Omar Figueroa Jr</x:v>
      </x:c>
      <x:c r="E96" t="str">
        <x:v>Yordenis Ugas</x:v>
      </x:c>
      <x:c r="F96" t="n">
        <x:v>12</x:v>
      </x:c>
      <x:c r="G96" t="str">
        <x:v>PPV / contender</x:v>
      </x:c>
      <x:c r="H96" s="22" t="n">
        <x:v>300000</x:v>
      </x:c>
      <x:c r="I96" t="str">
        <x:v>Secondary publication reproducing NSAC-released contract purses</x:v>
      </x:c>
      <x:c r="J96" t="str">
        <x:v>https://www.espn.com/boxing/story/_/id/27224729/pacquiao-thurman-make-weight-saturday</x:v>
      </x:c>
    </x:row>
    <x:row r="97">
      <x:c r="A97" t="str">
        <x:v>Nevada</x:v>
      </x:c>
      <x:c r="B97" t="str">
        <x:v>2019-07-20</x:v>
      </x:c>
      <x:c r="C97" t="str">
        <x:v>Pacquiao–Thurman</x:v>
      </x:c>
      <x:c r="D97" t="str">
        <x:v>Yordenis Ugas</x:v>
      </x:c>
      <x:c r="E97" t="str">
        <x:v>Omar Figueroa Jr</x:v>
      </x:c>
      <x:c r="F97" t="n">
        <x:v>12</x:v>
      </x:c>
      <x:c r="G97" t="str">
        <x:v>PPV / contender</x:v>
      </x:c>
      <x:c r="H97" s="22" t="n">
        <x:v>300000</x:v>
      </x:c>
      <x:c r="I97" t="str">
        <x:v>Secondary publication reproducing NSAC-released contract purses</x:v>
      </x:c>
      <x:c r="J97" t="str">
        <x:v>https://www.espn.com/boxing/story/_/id/27224729/pacquiao-thurman-make-weight-saturday</x:v>
      </x:c>
    </x:row>
    <x:row r="98">
      <x:c r="A98" t="str">
        <x:v>Nevada</x:v>
      </x:c>
      <x:c r="B98" t="str">
        <x:v>2019-07-20</x:v>
      </x:c>
      <x:c r="C98" t="str">
        <x:v>Pacquiao–Thurman</x:v>
      </x:c>
      <x:c r="D98" t="str">
        <x:v>Sergey Lipinets</x:v>
      </x:c>
      <x:c r="E98" t="str">
        <x:v>Jayar Inson</x:v>
      </x:c>
      <x:c r="F98" t="n">
        <x:v>10</x:v>
      </x:c>
      <x:c r="G98" t="str">
        <x:v>PPV undercard</x:v>
      </x:c>
      <x:c r="H98" s="22" t="n">
        <x:v>250000</x:v>
      </x:c>
      <x:c r="I98" t="str">
        <x:v>Secondary publication reproducing NSAC-released contract purses</x:v>
      </x:c>
      <x:c r="J98" t="str">
        <x:v>https://www.espn.com/boxing/story/_/id/27224729/pacquiao-thurman-make-weight-saturday</x:v>
      </x:c>
    </x:row>
    <x:row r="99">
      <x:c r="A99" t="str">
        <x:v>Nevada</x:v>
      </x:c>
      <x:c r="B99" t="str">
        <x:v>2019-07-20</x:v>
      </x:c>
      <x:c r="C99" t="str">
        <x:v>Pacquiao–Thurman</x:v>
      </x:c>
      <x:c r="D99" t="str">
        <x:v>Jayar Inson</x:v>
      </x:c>
      <x:c r="E99" t="str">
        <x:v>Sergey Lipinets</x:v>
      </x:c>
      <x:c r="F99" t="n">
        <x:v>10</x:v>
      </x:c>
      <x:c r="G99" t="str">
        <x:v>Late replacement</x:v>
      </x:c>
      <x:c r="H99" s="22" t="n">
        <x:v>10000</x:v>
      </x:c>
      <x:c r="I99" t="str">
        <x:v>Secondary publication reproducing NSAC-released contract purses</x:v>
      </x:c>
      <x:c r="J99" t="str">
        <x:v>https://www.espn.com/boxing/story/_/id/27224729/pacquiao-thurman-make-weight-saturday</x:v>
      </x:c>
    </x:row>
    <x:row r="100">
      <x:c r="A100" t="str">
        <x:v>Nevada</x:v>
      </x:c>
      <x:c r="B100" t="str">
        <x:v>2019-07-20</x:v>
      </x:c>
      <x:c r="C100" t="str">
        <x:v>Pacquiao–Thurman</x:v>
      </x:c>
      <x:c r="D100" t="str">
        <x:v>Luis Nery</x:v>
      </x:c>
      <x:c r="E100" t="str">
        <x:v>Juan Carlos Payano</x:v>
      </x:c>
      <x:c r="F100" t="n">
        <x:v>12</x:v>
      </x:c>
      <x:c r="G100" t="str">
        <x:v>Former world champions</x:v>
      </x:c>
      <x:c r="H100" s="22" t="n">
        <x:v>150000</x:v>
      </x:c>
      <x:c r="I100" t="str">
        <x:v>Secondary publication reproducing NSAC-released contract purses</x:v>
      </x:c>
      <x:c r="J100" t="str">
        <x:v>https://www.espn.com/boxing/story/_/id/27224729/pacquiao-thurman-make-weight-saturday</x:v>
      </x:c>
    </x:row>
    <x:row r="101">
      <x:c r="A101" t="str">
        <x:v>Nevada</x:v>
      </x:c>
      <x:c r="B101" t="str">
        <x:v>2019-07-20</x:v>
      </x:c>
      <x:c r="C101" t="str">
        <x:v>Pacquiao–Thurman</x:v>
      </x:c>
      <x:c r="D101" t="str">
        <x:v>Juan Carlos Payano</x:v>
      </x:c>
      <x:c r="E101" t="str">
        <x:v>Luis Nery</x:v>
      </x:c>
      <x:c r="F101" t="n">
        <x:v>12</x:v>
      </x:c>
      <x:c r="G101" t="str">
        <x:v>Former champion</x:v>
      </x:c>
      <x:c r="H101" s="22" t="n">
        <x:v>25000</x:v>
      </x:c>
      <x:c r="I101" t="str">
        <x:v>Secondary publication reproducing NSAC-released contract purses</x:v>
      </x:c>
      <x:c r="J101" t="str">
        <x:v>https://www.espn.com/boxing/story/_/id/27224729/pacquiao-thurman-make-weight-saturday</x:v>
      </x:c>
    </x:row>
    <x:row r="102">
      <x:c r="A102" t="str">
        <x:v>Nevada</x:v>
      </x:c>
      <x:c r="B102" t="str">
        <x:v>2019-07-20</x:v>
      </x:c>
      <x:c r="C102" t="str">
        <x:v>Pacquiao–Thurman</x:v>
      </x:c>
      <x:c r="D102" t="str">
        <x:v>Caleb Plant</x:v>
      </x:c>
      <x:c r="E102" t="str">
        <x:v>Mike Lee</x:v>
      </x:c>
      <x:c r="F102" t="n">
        <x:v>12</x:v>
      </x:c>
      <x:c r="G102" t="str">
        <x:v>World title</x:v>
      </x:c>
      <x:c r="H102" s="22" t="n">
        <x:v>750000</x:v>
      </x:c>
      <x:c r="I102" t="str">
        <x:v>Secondary publication reproducing NSAC-released contract purses</x:v>
      </x:c>
      <x:c r="J102" t="str">
        <x:v>https://www.espn.com/boxing/story/_/id/27224729/pacquiao-thurman-make-weight-saturday</x:v>
      </x:c>
    </x:row>
    <x:row r="103">
      <x:c r="A103" t="str">
        <x:v>Nevada</x:v>
      </x:c>
      <x:c r="B103" t="str">
        <x:v>2019-07-20</x:v>
      </x:c>
      <x:c r="C103" t="str">
        <x:v>Pacquiao–Thurman</x:v>
      </x:c>
      <x:c r="D103" t="str">
        <x:v>Mike Lee</x:v>
      </x:c>
      <x:c r="E103" t="str">
        <x:v>Caleb Plant</x:v>
      </x:c>
      <x:c r="F103" t="n">
        <x:v>12</x:v>
      </x:c>
      <x:c r="G103" t="str">
        <x:v>World title challenger</x:v>
      </x:c>
      <x:c r="H103" s="22" t="n">
        <x:v>250000</x:v>
      </x:c>
      <x:c r="I103" t="str">
        <x:v>Secondary publication reproducing NSAC-released contract purses</x:v>
      </x:c>
      <x:c r="J103" t="str">
        <x:v>https://www.espn.com/boxing/story/_/id/27224729/pacquiao-thurman-make-weight-saturday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42" hidden="0" customWidth="1"/>
    <x:col min="4" max="4" width="28" hidden="0" customWidth="1"/>
    <x:col min="5" max="5" width="60" hidden="0" customWidth="1"/>
    <x:col min="6" max="6" width="65" hidden="0" customWidth="1"/>
  </x:cols>
  <x:sheetData>
    <x:row r="1">
      <x:c r="A1" s="20" t="str">
        <x:v>Availability of purse data by requested state</x:v>
      </x:c>
      <x:c r="B1" s="20"/>
      <x:c r="C1" s="20"/>
      <x:c r="D1" s="20"/>
      <x:c r="E1" s="20"/>
      <x:c r="F1" s="20"/>
    </x:row>
    <x:row r="3">
      <x:c r="A3" s="12" t="str">
        <x:v>State</x:v>
      </x:c>
      <x:c r="B3" s="12" t="str">
        <x:v>What was located</x:v>
      </x:c>
      <x:c r="C3" s="12" t="str">
        <x:v>Purse data status</x:v>
      </x:c>
      <x:c r="D3" s="12" t="str">
        <x:v>Included in 100-row dataset?</x:v>
      </x:c>
      <x:c r="E3" s="12" t="str">
        <x:v>Caveat / next acquisition path</x:v>
      </x:c>
      <x:c r="F3" s="12" t="str">
        <x:v>Source URL</x:v>
      </x:c>
    </x:row>
    <x:row r="4">
      <x:c r="A4" t="str">
        <x:v>California</x:v>
      </x:c>
      <x:c r="B4" t="str">
        <x:v>CSAC event-results supervisor reports with athlete-by-athlete purse figures, records, rounds and results.</x:v>
      </x:c>
      <x:c r="C4" t="str">
        <x:v>Direct primary-source purse disclosure.</x:v>
      </x:c>
      <x:c r="D4" t="str">
        <x:v>Yes — 72 rows.</x:v>
      </x:c>
      <x:c r="E4" t="str">
        <x:v>Best public source located for broad level coverage, including pro debuts and world-title bouts.</x:v>
      </x:c>
      <x:c r="F4" t="str">
        <x:v>https://www.dca.ca.gov/csac/events/results/</x:v>
      </x:c>
    </x:row>
    <x:row r="5">
      <x:c r="A5" t="str">
        <x:v>Nevada</x:v>
      </x:c>
      <x:c r="B5" t="str">
        <x:v>Official contract purses released by NSAC and reproduced contemporaneously by ESPN; includes PPV cards and undercards.</x:v>
      </x:c>
      <x:c r="C5" t="str">
        <x:v>Commission-filed figures, but sourced here through high-quality contemporaneous reporting rather than a downloadable NSAC purse table.</x:v>
      </x:c>
      <x:c r="D5" t="str">
        <x:v>Yes — 28 rows.</x:v>
      </x:c>
      <x:c r="E5" t="str">
        <x:v>Treat as 'commission-released / secondary reproduction'; PPV upside often exceeds filed base/contract purse.</x:v>
      </x:c>
      <x:c r="F5" t="str">
        <x:v>https://boxing.nv.gov/</x:v>
      </x:c>
    </x:row>
    <x:row r="6">
      <x:c r="A6" t="str">
        <x:v>Texas</x:v>
      </x:c>
      <x:c r="B6" t="str">
        <x:v>TDLR publishes past-event results, but the public results interface reviewed did not expose a comparable athlete-by-athlete purse table.</x:v>
      </x:c>
      <x:c r="C6" t="str">
        <x:v>No purse-level downloadable official dataset located in this search.</x:v>
      </x:c>
      <x:c r="D6" t="str">
        <x:v>No.</x:v>
      </x:c>
      <x:c r="E6" t="str">
        <x:v>For Texas purse amounts, use a targeted Texas Public Information Act request for bout contracts / promoter disclosures if releasable; do not substitute estimates.</x:v>
      </x:c>
      <x:c r="F6" t="str">
        <x:v>https://www.tdlr.texas.gov/sports/events/results/</x:v>
      </x:c>
    </x:row>
    <x:row r="7">
      <x:c r="A7" t="str">
        <x:v>New Jersey</x:v>
      </x:c>
      <x:c r="B7" t="str">
        <x:v>SACB rules and regulatory material located; no comparable bulk purse-results table located in the public sources reviewed.</x:v>
      </x:c>
      <x:c r="C7" t="str">
        <x:v>No bulk purse-level official dataset located in this search.</x:v>
      </x:c>
      <x:c r="D7" t="str">
        <x:v>No.</x:v>
      </x:c>
      <x:c r="E7" t="str">
        <x:v>Use targeted NJ State Athletic Control Board/Open Public Records Act request for specific events if purse contracts are releasable.</x:v>
      </x:c>
      <x:c r="F7" t="str">
        <x:v>https://www.nj.gov/oag/sacb/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38" hidden="0" customWidth="1"/>
    <x:col min="4" max="4" width="42" hidden="0" customWidth="1"/>
    <x:col min="5" max="5" width="40" hidden="0" customWidth="1"/>
    <x:col min="6" max="6" width="42" hidden="0" customWidth="1"/>
    <x:col min="7" max="7" width="58" hidden="0" customWidth="1"/>
  </x:cols>
  <x:sheetData>
    <x:row r="1">
      <x:c r="A1" s="20" t="str">
        <x:v>Suggested structured variables for the boxing-manager economic rules engine</x:v>
      </x:c>
      <x:c r="B1" s="20"/>
      <x:c r="C1" s="20"/>
      <x:c r="D1" s="20"/>
      <x:c r="E1" s="20"/>
      <x:c r="F1" s="20"/>
      <x:c r="G1" s="20"/>
    </x:row>
    <x:row r="3">
      <x:c r="A3" s="12" t="str">
        <x:v>Variable</x:v>
      </x:c>
      <x:c r="B3" s="12" t="str">
        <x:v>Type</x:v>
      </x:c>
      <x:c r="C3" s="12" t="str">
        <x:v>WBC</x:v>
      </x:c>
      <x:c r="D3" s="12" t="str">
        <x:v>WBA</x:v>
      </x:c>
      <x:c r="E3" s="12" t="str">
        <x:v>IBF</x:v>
      </x:c>
      <x:c r="F3" s="12" t="str">
        <x:v>WBO</x:v>
      </x:c>
      <x:c r="G3" s="12" t="str">
        <x:v>Implementation note</x:v>
      </x:c>
    </x:row>
    <x:row r="4">
      <x:c r="A4" t="str">
        <x:v>mandatory_negotiation_days</x:v>
      </x:c>
      <x:c r="B4" t="str">
        <x:v>integer / rule</x:v>
      </x:c>
      <x:c r="C4" t="str">
        <x:v>30 (modifiable)</x:v>
      </x:c>
      <x:c r="D4" t="str">
        <x:v>case-dependent; eliminator ≤30; title procedure tied to mandatory window</x:v>
      </x:c>
      <x:c r="E4" t="str">
        <x:v>30; can trigger after 5 business days unwillingness</x:v>
      </x:c>
      <x:c r="F4" t="str">
        <x:v>30 within 60-day notice; min 5 by discretion</x:v>
      </x:c>
      <x:c r="G4" t="str">
        <x:v>Store both default and organization discretion flag.</x:v>
      </x:c>
    </x:row>
    <x:row r="5">
      <x:c r="A5" t="str">
        <x:v>purse_split_champion</x:v>
      </x:c>
      <x:c r="B5" t="str">
        <x:v>formula</x:v>
      </x:c>
      <x:c r="C5" t="str">
        <x:v>10% winner bonus first; suggested 70/30 of remainder</x:v>
      </x:c>
      <x:c r="D5" t="str">
        <x:v>case-by-case notice</x:v>
      </x:c>
      <x:c r="E5" t="str">
        <x:v>65/35 vs #1/#2; 85/15 vs #3+</x:v>
      </x:c>
      <x:c r="F5" t="str">
        <x:v>75/25 or 80/20 depending venue</x:v>
      </x:c>
      <x:c r="G5" t="str">
        <x:v>Do not hard-code one universal split.</x:v>
      </x:c>
    </x:row>
    <x:row r="6">
      <x:c r="A6" t="str">
        <x:v>vacant_split</x:v>
      </x:c>
      <x:c r="B6" t="str">
        <x:v>formula</x:v>
      </x:c>
      <x:c r="C6" t="str">
        <x:v>10% bonus + remaining 50/50 suggested</x:v>
      </x:c>
      <x:c r="D6" t="str">
        <x:v>case-by-case current rule</x:v>
      </x:c>
      <x:c r="E6" t="str">
        <x:v>50/50</x:v>
      </x:c>
      <x:c r="F6" t="str">
        <x:v>40/60 home-side rule; neutral 50/50</x:v>
      </x:c>
      <x:c r="G6" t="str">
        <x:v>WBO venue dependence is important.</x:v>
      </x:c>
    </x:row>
    <x:row r="7">
      <x:c r="A7" t="str">
        <x:v>bid_security_pct</x:v>
      </x:c>
      <x:c r="B7" t="str">
        <x:v>percent</x:v>
      </x:c>
      <x:c r="C7" t="str">
        <x:v>10% after win</x:v>
      </x:c>
      <x:c r="D7" t="str">
        <x:v>≥10% with bid</x:v>
      </x:c>
      <x:c r="E7" t="str">
        <x:v>10% immediately + 10% within 5 business days</x:v>
      </x:c>
      <x:c r="F7" t="str">
        <x:v>20% Purse Bond (+ special 50/100% post-win rules)</x:v>
      </x:c>
      <x:c r="G7" t="str">
        <x:v>Separate bid participation fee from refundable/non-refundable security.</x:v>
      </x:c>
    </x:row>
    <x:row r="8">
      <x:c r="A8" t="str">
        <x:v>sanction_fee_boxer_pct</x:v>
      </x:c>
      <x:c r="B8" t="str">
        <x:v>percent</x:v>
      </x:c>
      <x:c r="C8" t="str">
        <x:v>≤3% committee-calculated</x:v>
      </x:c>
      <x:c r="D8" t="str">
        <x:v>3%</x:v>
      </x:c>
      <x:c r="E8" t="str">
        <x:v>3%</x:v>
      </x:c>
      <x:c r="F8" t="str">
        <x:v>3% (unified champ 2%)</x:v>
      </x:c>
      <x:c r="G8" t="str">
        <x:v>Base should be gross purse/consideration per body definition.</x:v>
      </x:c>
    </x:row>
    <x:row r="9">
      <x:c r="A9" t="str">
        <x:v>mandatory_cycle_months</x:v>
      </x:c>
      <x:c r="B9" t="str">
        <x:v>rule</x:v>
      </x:c>
      <x:c r="C9" t="str">
        <x:v>generally 12; case rulings can differ</x:v>
      </x:c>
      <x:c r="D9" t="str">
        <x:v>9/120 days non-HW depending acquisition status; 12/180 days HW</x:v>
      </x:c>
      <x:c r="E9" t="str">
        <x:v>9 most divisions; HW first 12 then 9</x:v>
      </x:c>
      <x:c r="F9" t="str">
        <x:v>9 non-HW; 12 HW</x:v>
      </x:c>
      <x:c r="G9" t="str">
        <x:v>Represent as state machine, not a single numeric constant.</x:v>
      </x:c>
    </x:row>
    <x:row r="10">
      <x:c r="A10" t="str">
        <x:v>manager_cap_CA_NV_NJ</x:v>
      </x:c>
      <x:c r="B10" t="str">
        <x:v>percent</x:v>
      </x:c>
      <x:c r="C10" t="str">
        <x:v>—</x:v>
      </x:c>
      <x:c r="D10" t="str">
        <x:v>—</x:v>
      </x:c>
      <x:c r="E10" t="str">
        <x:v>—</x:v>
      </x:c>
      <x:c r="F10" t="str">
        <x:v>—</x:v>
      </x:c>
      <x:c r="G10" t="str">
        <x:v>State layer: CA/NV/NJ 33⅓%; Texas no verified percentage cap in reviewed rules.</x:v>
      </x:c>
    </x:row>
    <x:row r="11">
      <x:c r="A11" t="str">
        <x:v>ali_act_firewall_10plus</x:v>
      </x:c>
      <x:c r="B11" t="str">
        <x:v>boolean</x:v>
      </x:c>
      <x:c r="C11" t="str">
        <x:v>—</x:v>
      </x:c>
      <x:c r="D11" t="str">
        <x:v>—</x:v>
      </x:c>
      <x:c r="E11" t="str">
        <x:v>—</x:v>
      </x:c>
      <x:c r="F11" t="str">
        <x:v>—</x:v>
      </x:c>
      <x:c r="G11" t="str">
        <x:v>For 10+ round U.S. bouts block promoter-manager financial conflicts under 15 USC §6308(b).</x:v>
      </x:c>
    </x:row>
  </x:sheetData>
  <x:mergeCells>
    <x:mergeCell ref="A1:G1"/>
  </x:mergeCells>
  <x:pageMargins left="0.7" right="0.7" top="0.75" bottom="0.75" header="0.3" footer="0.3"/>
</x:worksheet>
</file>